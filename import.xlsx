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ragon\www\tartil-assessment\"/>
    </mc:Choice>
  </mc:AlternateContent>
  <xr:revisionPtr revIDLastSave="0" documentId="13_ncr:1_{00E868F8-FD1B-4A3B-BC98-DABEDBA18FEC}" xr6:coauthVersionLast="47" xr6:coauthVersionMax="47" xr10:uidLastSave="{00000000-0000-0000-0000-000000000000}"/>
  <bookViews>
    <workbookView xWindow="-108" yWindow="-108" windowWidth="23256" windowHeight="12456" xr2:uid="{38811303-5E35-4086-93BB-622939993D2A}"/>
  </bookViews>
  <sheets>
    <sheet name="PEMBAGIAN KELAS SM2" sheetId="1" r:id="rId1"/>
  </sheets>
  <externalReferences>
    <externalReference r:id="rId2"/>
  </externalReferences>
  <definedNames>
    <definedName name="_xlnm._FilterDatabase" localSheetId="0" hidden="1">'PEMBAGIAN KELAS SM2'!$F$1:$F$540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4" i="1" l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</calcChain>
</file>

<file path=xl/sharedStrings.xml><?xml version="1.0" encoding="utf-8"?>
<sst xmlns="http://schemas.openxmlformats.org/spreadsheetml/2006/main" count="16" uniqueCount="16">
  <si>
    <t>PENEMPATAN KELAS TARTIL/TAHFIDZ SEMESTER 1 TAPEL 2026-2027</t>
  </si>
  <si>
    <t>PROGRAM</t>
  </si>
  <si>
    <t>No</t>
  </si>
  <si>
    <t>No Induk</t>
  </si>
  <si>
    <t>Nama</t>
  </si>
  <si>
    <t>Kelas</t>
  </si>
  <si>
    <t>Bilqolam 1</t>
  </si>
  <si>
    <t>Bilqolam 2</t>
  </si>
  <si>
    <t>Bilqolam 3</t>
  </si>
  <si>
    <t xml:space="preserve"> Bilqolam 4</t>
  </si>
  <si>
    <t>Juz Amma</t>
  </si>
  <si>
    <t>Marhalah 1</t>
  </si>
  <si>
    <t>Marhalah 2</t>
  </si>
  <si>
    <t>Marhalah 3</t>
  </si>
  <si>
    <t>Munaqosyah</t>
  </si>
  <si>
    <t>Tahfidz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</si>
</sst>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Arial Rounded MT Bold"/>
      <family val="2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20"/>
      <color theme="1"/>
      <name val="Arial Rounded MT Bold"/>
      <family val="2"/>
    </font>
    <font>
      <sz val="22"/>
      <color theme="1"/>
      <name val="Arial Rounded MT Bold"/>
      <family val="2"/>
    </font>
    <font>
      <b/>
      <sz val="20"/>
      <color theme="1"/>
      <name val="Arial Rounded MT Bold"/>
      <family val="2"/>
    </font>
    <font>
      <b/>
      <sz val="26"/>
      <color theme="1"/>
      <name val="Arial Rounded MT Bold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3" fillId="0" borderId="0">
      <alignment vertical="center"/>
    </xf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4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 textRotation="90"/>
    </xf>
    <xf numFmtId="0" fontId="11" fillId="9" borderId="4" xfId="0" applyFont="1" applyFill="1" applyBorder="1" applyAlignment="1">
      <alignment horizontal="center" vertical="center" textRotation="90"/>
    </xf>
    <xf numFmtId="0" fontId="12" fillId="10" borderId="1" xfId="0" applyFont="1" applyFill="1" applyBorder="1" applyAlignment="1">
      <alignment horizontal="center" vertical="center" textRotation="90"/>
    </xf>
    <xf numFmtId="0" fontId="9" fillId="4" borderId="2" xfId="0" applyFont="1" applyFill="1" applyBorder="1" applyAlignment="1">
      <alignment horizontal="center" vertical="center" textRotation="90"/>
    </xf>
    <xf numFmtId="0" fontId="9" fillId="4" borderId="3" xfId="0" applyFont="1" applyFill="1" applyBorder="1" applyAlignment="1">
      <alignment horizontal="center" vertical="center" textRotation="90"/>
    </xf>
    <xf numFmtId="0" fontId="9" fillId="4" borderId="4" xfId="0" applyFont="1" applyFill="1" applyBorder="1" applyAlignment="1">
      <alignment horizontal="center" vertical="center" textRotation="90"/>
    </xf>
    <xf numFmtId="0" fontId="9" fillId="5" borderId="2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4" xfId="0" applyFont="1" applyFill="1" applyBorder="1" applyAlignment="1">
      <alignment horizontal="center" vertical="center" textRotation="90"/>
    </xf>
    <xf numFmtId="0" fontId="9" fillId="2" borderId="2" xfId="0" applyFont="1" applyFill="1" applyBorder="1" applyAlignment="1">
      <alignment horizontal="center" vertical="center" textRotation="90"/>
    </xf>
    <xf numFmtId="0" fontId="9" fillId="2" borderId="3" xfId="0" applyFont="1" applyFill="1" applyBorder="1" applyAlignment="1">
      <alignment horizontal="center" vertical="center" textRotation="90"/>
    </xf>
    <xf numFmtId="0" fontId="9" fillId="2" borderId="4" xfId="0" applyFont="1" applyFill="1" applyBorder="1" applyAlignment="1">
      <alignment horizontal="center" vertical="center" textRotation="90"/>
    </xf>
    <xf numFmtId="0" fontId="9" fillId="6" borderId="2" xfId="0" applyFont="1" applyFill="1" applyBorder="1" applyAlignment="1">
      <alignment horizontal="center" vertical="center" textRotation="90"/>
    </xf>
    <xf numFmtId="0" fontId="9" fillId="6" borderId="3" xfId="0" applyFont="1" applyFill="1" applyBorder="1" applyAlignment="1">
      <alignment horizontal="center" vertical="center" textRotation="90"/>
    </xf>
    <xf numFmtId="0" fontId="10" fillId="7" borderId="3" xfId="0" applyFont="1" applyFill="1" applyBorder="1" applyAlignment="1">
      <alignment horizontal="center" vertical="center" textRotation="90"/>
    </xf>
    <xf numFmtId="0" fontId="10" fillId="7" borderId="4" xfId="0" applyFont="1" applyFill="1" applyBorder="1" applyAlignment="1">
      <alignment horizontal="center" vertical="center" textRotation="90"/>
    </xf>
    <xf numFmtId="0" fontId="10" fillId="8" borderId="2" xfId="0" applyFont="1" applyFill="1" applyBorder="1" applyAlignment="1">
      <alignment horizontal="center" vertical="center" textRotation="90"/>
    </xf>
    <xf numFmtId="0" fontId="10" fillId="8" borderId="3" xfId="0" applyFont="1" applyFill="1" applyBorder="1" applyAlignment="1">
      <alignment horizontal="center" vertical="center" textRotation="90"/>
    </xf>
    <xf numFmtId="0" fontId="5" fillId="2" borderId="2" xfId="0" applyFont="1" applyFill="1" applyBorder="1" applyAlignment="1">
      <alignment horizontal="center" vertical="center" textRotation="90" wrapText="1"/>
    </xf>
    <xf numFmtId="0" fontId="5" fillId="2" borderId="3" xfId="0" applyFont="1" applyFill="1" applyBorder="1" applyAlignment="1">
      <alignment horizontal="center" vertical="center" textRotation="90" wrapText="1"/>
    </xf>
    <xf numFmtId="0" fontId="5" fillId="2" borderId="4" xfId="0" applyFont="1" applyFill="1" applyBorder="1" applyAlignment="1">
      <alignment horizontal="center" vertical="center" textRotation="90" wrapText="1"/>
    </xf>
    <xf numFmtId="0" fontId="5" fillId="3" borderId="2" xfId="0" applyFont="1" applyFill="1" applyBorder="1" applyAlignment="1">
      <alignment horizontal="center" vertical="center" textRotation="90" wrapText="1"/>
    </xf>
    <xf numFmtId="0" fontId="5" fillId="3" borderId="3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 textRotation="90" wrapText="1"/>
    </xf>
    <xf numFmtId="0" fontId="2" fillId="0" borderId="0" xfId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</cellXfs>
  <cellStyles count="4">
    <cellStyle name="Normal" xfId="0" builtinId="0"/>
    <cellStyle name="Normal 2" xfId="1" xr:uid="{FE27C2C8-A61F-4AC3-8731-A92718A48833}"/>
    <cellStyle name="Normal 2 2" xfId="2" xr:uid="{2D9C48FF-09EC-4B56-B718-BD2F32248BBA}"/>
    <cellStyle name="Normal 4" xfId="3" xr:uid="{A847E251-74DE-4E80-B2AA-402992F07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ja\Downloads\PENEMPATAN%20KELAS%20TARTIL%20&amp;%20TAHFIDZ%20SM%201%20TAPEL%202026-2027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SE SANTRI"/>
      <sheetName val="NO TELFON"/>
      <sheetName val="KELOMPOK"/>
      <sheetName val="PEMBAGIAN KELAS SM2"/>
      <sheetName val="KELAS"/>
      <sheetName val="HAFALAN"/>
    </sheetNames>
    <sheetDataSet>
      <sheetData sheetId="0">
        <row r="3">
          <cell r="C3">
            <v>2419</v>
          </cell>
          <cell r="D3" t="str">
            <v>ABDURRAHMAN ADDAKHIL</v>
          </cell>
          <cell r="E3" t="str">
            <v>1A</v>
          </cell>
        </row>
        <row r="4">
          <cell r="C4">
            <v>2421</v>
          </cell>
          <cell r="D4" t="str">
            <v>ABIZAR RAYYAN AL FATIH</v>
          </cell>
          <cell r="E4" t="str">
            <v>1A</v>
          </cell>
        </row>
        <row r="5">
          <cell r="C5">
            <v>2424</v>
          </cell>
          <cell r="D5" t="str">
            <v>AIZA QIANA LOVA</v>
          </cell>
          <cell r="E5" t="str">
            <v>1A</v>
          </cell>
        </row>
        <row r="6">
          <cell r="C6">
            <v>2426</v>
          </cell>
          <cell r="D6" t="str">
            <v>ALEISHA CLEMIRA RACHMAN</v>
          </cell>
          <cell r="E6" t="str">
            <v>1A</v>
          </cell>
        </row>
        <row r="7">
          <cell r="C7">
            <v>2429</v>
          </cell>
          <cell r="D7" t="str">
            <v>ALLENA SEPTYA YUKA</v>
          </cell>
          <cell r="E7" t="str">
            <v>1A</v>
          </cell>
        </row>
        <row r="8">
          <cell r="C8">
            <v>2431</v>
          </cell>
          <cell r="D8" t="str">
            <v>ALMIRAH RAEHANUN ARBA</v>
          </cell>
          <cell r="E8" t="str">
            <v>1A</v>
          </cell>
        </row>
        <row r="9">
          <cell r="C9">
            <v>2434</v>
          </cell>
          <cell r="D9" t="str">
            <v>AQILA PUTRI MEI RAMADHANI</v>
          </cell>
          <cell r="E9" t="str">
            <v>1A</v>
          </cell>
        </row>
        <row r="10">
          <cell r="C10">
            <v>2435</v>
          </cell>
          <cell r="D10" t="str">
            <v>AQMAR DHANESA PUTRA</v>
          </cell>
          <cell r="E10" t="str">
            <v>1A</v>
          </cell>
        </row>
        <row r="11">
          <cell r="C11">
            <v>2439</v>
          </cell>
          <cell r="D11" t="str">
            <v>ASYILA ALTHAFUNNISA KIRANA</v>
          </cell>
          <cell r="E11" t="str">
            <v>1A</v>
          </cell>
        </row>
        <row r="12">
          <cell r="C12">
            <v>2441</v>
          </cell>
          <cell r="D12" t="str">
            <v>BARRA ARKANANTA SHANKARA</v>
          </cell>
          <cell r="E12" t="str">
            <v>1A</v>
          </cell>
        </row>
        <row r="13">
          <cell r="C13">
            <v>2447</v>
          </cell>
          <cell r="D13" t="str">
            <v>DIPA GIBRAN AR-RAHMAH</v>
          </cell>
          <cell r="E13" t="str">
            <v>1A</v>
          </cell>
        </row>
        <row r="14">
          <cell r="C14">
            <v>2450</v>
          </cell>
          <cell r="D14" t="str">
            <v>EVELYN APRILY PRASTIYA</v>
          </cell>
          <cell r="E14" t="str">
            <v>1A</v>
          </cell>
        </row>
        <row r="15">
          <cell r="C15">
            <v>2452</v>
          </cell>
          <cell r="D15" t="str">
            <v>FATIN ALESHA DZAKIYAH</v>
          </cell>
          <cell r="E15" t="str">
            <v>1A</v>
          </cell>
        </row>
        <row r="16">
          <cell r="C16">
            <v>2457</v>
          </cell>
          <cell r="D16" t="str">
            <v>GILVI SAMVIDA INSANI</v>
          </cell>
          <cell r="E16" t="str">
            <v>1A</v>
          </cell>
        </row>
        <row r="17">
          <cell r="C17">
            <v>2458</v>
          </cell>
          <cell r="D17" t="str">
            <v>HIRO UZAIR ARFIANSYAH</v>
          </cell>
          <cell r="E17" t="str">
            <v>1A</v>
          </cell>
        </row>
        <row r="18">
          <cell r="C18">
            <v>2461</v>
          </cell>
          <cell r="D18" t="str">
            <v>IZQIAN AZZAMIR ROHMAN</v>
          </cell>
          <cell r="E18" t="str">
            <v>1A</v>
          </cell>
        </row>
        <row r="19">
          <cell r="C19">
            <v>2462</v>
          </cell>
          <cell r="D19" t="str">
            <v>KAMALUDDIN AL BARISY</v>
          </cell>
          <cell r="E19" t="str">
            <v>1A</v>
          </cell>
        </row>
        <row r="20">
          <cell r="C20">
            <v>2465</v>
          </cell>
          <cell r="D20" t="str">
            <v>KHAIZAN ZULFAN WARDHANA</v>
          </cell>
          <cell r="E20" t="str">
            <v>1A</v>
          </cell>
        </row>
        <row r="21">
          <cell r="C21">
            <v>2468</v>
          </cell>
          <cell r="D21" t="str">
            <v>MALCAFANI CLEMIRAGHDA ALESHAFFA RYSEAN</v>
          </cell>
          <cell r="E21" t="str">
            <v>1A</v>
          </cell>
        </row>
        <row r="22">
          <cell r="C22">
            <v>2474</v>
          </cell>
          <cell r="D22" t="str">
            <v>MUHAMMAD KENZIE ALAIKA DINUL HAQ ADZ DZIKRI</v>
          </cell>
          <cell r="E22" t="str">
            <v>1A</v>
          </cell>
        </row>
        <row r="23">
          <cell r="C23">
            <v>2478</v>
          </cell>
          <cell r="D23" t="str">
            <v>MUHAMMAD SHAQUILLE ALFAHREZY CAHYADI</v>
          </cell>
          <cell r="E23" t="str">
            <v>1A</v>
          </cell>
        </row>
        <row r="24">
          <cell r="C24">
            <v>2479</v>
          </cell>
          <cell r="D24" t="str">
            <v>MUHAMMAD ZHAFIR ALIMY</v>
          </cell>
          <cell r="E24" t="str">
            <v>1A</v>
          </cell>
        </row>
        <row r="25">
          <cell r="C25">
            <v>2480</v>
          </cell>
          <cell r="D25" t="str">
            <v>NADISHA SAFARAZ MAGHFIRAH</v>
          </cell>
          <cell r="E25" t="str">
            <v>1A</v>
          </cell>
        </row>
        <row r="26">
          <cell r="C26">
            <v>2486</v>
          </cell>
          <cell r="D26" t="str">
            <v>NAWWARA FASCHINAN MAHMUDIYYAH</v>
          </cell>
          <cell r="E26" t="str">
            <v>1A</v>
          </cell>
        </row>
        <row r="27">
          <cell r="C27">
            <v>2487</v>
          </cell>
          <cell r="D27" t="str">
            <v>QIANA BASSAM NAFLAH</v>
          </cell>
          <cell r="E27" t="str">
            <v>1A</v>
          </cell>
        </row>
        <row r="28">
          <cell r="C28">
            <v>2491</v>
          </cell>
          <cell r="D28" t="str">
            <v>RAFANDA ZAHRA NAFISAH</v>
          </cell>
          <cell r="E28" t="str">
            <v>1A</v>
          </cell>
        </row>
        <row r="29">
          <cell r="C29">
            <v>2493</v>
          </cell>
          <cell r="D29" t="str">
            <v>RAFI MAULANA ALFARIZI</v>
          </cell>
          <cell r="E29" t="str">
            <v>1A</v>
          </cell>
        </row>
        <row r="30">
          <cell r="C30">
            <v>2497</v>
          </cell>
          <cell r="D30" t="str">
            <v>RYOTA KENZIE ALFAREZI</v>
          </cell>
          <cell r="E30" t="str">
            <v>1A</v>
          </cell>
        </row>
        <row r="31">
          <cell r="C31">
            <v>2499</v>
          </cell>
          <cell r="D31" t="str">
            <v>SAFIRA AULIA NISA</v>
          </cell>
          <cell r="E31" t="str">
            <v>1A</v>
          </cell>
        </row>
        <row r="32">
          <cell r="C32">
            <v>2501</v>
          </cell>
          <cell r="D32" t="str">
            <v>SEMBRANI RAJANAGARI ABDHI PENGERAN</v>
          </cell>
          <cell r="E32" t="str">
            <v>1A</v>
          </cell>
        </row>
        <row r="33">
          <cell r="C33">
            <v>2422</v>
          </cell>
          <cell r="D33" t="str">
            <v>AHMAD ADZRIEL ABQARY</v>
          </cell>
          <cell r="E33" t="str">
            <v>1B</v>
          </cell>
        </row>
        <row r="34">
          <cell r="C34">
            <v>2433</v>
          </cell>
          <cell r="D34" t="str">
            <v>ANDROMEYDA JAYAWARDHANA</v>
          </cell>
          <cell r="E34" t="str">
            <v>1B</v>
          </cell>
        </row>
        <row r="35">
          <cell r="C35">
            <v>2436</v>
          </cell>
          <cell r="D35" t="str">
            <v>ARION KENZO KURNIAWAN</v>
          </cell>
          <cell r="E35" t="str">
            <v>1B</v>
          </cell>
        </row>
        <row r="36">
          <cell r="C36">
            <v>2438</v>
          </cell>
          <cell r="D36" t="str">
            <v>ASYIFA RATNA SUKMAWATI</v>
          </cell>
          <cell r="E36" t="str">
            <v>1B</v>
          </cell>
        </row>
        <row r="37">
          <cell r="C37">
            <v>2440</v>
          </cell>
          <cell r="D37" t="str">
            <v>ATAFARIS RADEYA FATIR</v>
          </cell>
          <cell r="E37" t="str">
            <v>1B</v>
          </cell>
        </row>
        <row r="38">
          <cell r="C38">
            <v>2442</v>
          </cell>
          <cell r="D38" t="str">
            <v>BIDARI NAMIAH CELLAATI</v>
          </cell>
          <cell r="E38" t="str">
            <v>1B</v>
          </cell>
        </row>
        <row r="39">
          <cell r="C39">
            <v>2445</v>
          </cell>
          <cell r="D39" t="str">
            <v>CLEMIRA PUTRI VIDIANSAH</v>
          </cell>
          <cell r="E39" t="str">
            <v>1B</v>
          </cell>
        </row>
        <row r="40">
          <cell r="C40">
            <v>2448</v>
          </cell>
          <cell r="D40" t="str">
            <v>DZAKIRA TISHA ARROKHMAN</v>
          </cell>
          <cell r="E40" t="str">
            <v>1B</v>
          </cell>
        </row>
        <row r="41">
          <cell r="C41">
            <v>2451</v>
          </cell>
          <cell r="D41" t="str">
            <v>FAHRULROZI HARITS</v>
          </cell>
          <cell r="E41" t="str">
            <v>1B</v>
          </cell>
        </row>
        <row r="42">
          <cell r="C42">
            <v>2455</v>
          </cell>
          <cell r="D42" t="str">
            <v>GHANIA FARZANA KHALISA</v>
          </cell>
          <cell r="E42" t="str">
            <v>1B</v>
          </cell>
        </row>
        <row r="43">
          <cell r="C43">
            <v>2459</v>
          </cell>
          <cell r="D43" t="str">
            <v>HUSNA ZAKIYA RAMADANI</v>
          </cell>
          <cell r="E43" t="str">
            <v>1B</v>
          </cell>
        </row>
        <row r="44">
          <cell r="C44">
            <v>2463</v>
          </cell>
          <cell r="D44" t="str">
            <v>KEARA FAHIRA NAUVALYN</v>
          </cell>
          <cell r="E44" t="str">
            <v>1B</v>
          </cell>
        </row>
        <row r="45">
          <cell r="C45">
            <v>2466</v>
          </cell>
          <cell r="D45" t="str">
            <v>KHALID KIRAN PUTRA PRASETYO</v>
          </cell>
          <cell r="E45" t="str">
            <v>1B</v>
          </cell>
        </row>
        <row r="46">
          <cell r="C46">
            <v>2467</v>
          </cell>
          <cell r="D46" t="str">
            <v>LOVARSYILA GRIZELLE ABITA</v>
          </cell>
          <cell r="E46" t="str">
            <v>1B</v>
          </cell>
        </row>
        <row r="47">
          <cell r="C47">
            <v>2469</v>
          </cell>
          <cell r="D47" t="str">
            <v>MIKAYLA AYESHA ADARA NINGRUM</v>
          </cell>
          <cell r="E47" t="str">
            <v>1B</v>
          </cell>
        </row>
        <row r="48">
          <cell r="C48">
            <v>2470</v>
          </cell>
          <cell r="D48" t="str">
            <v>MUHAMMAD AQMAR NAUFAL SYAHREZA</v>
          </cell>
          <cell r="E48" t="str">
            <v>1B</v>
          </cell>
        </row>
        <row r="49">
          <cell r="C49">
            <v>2471</v>
          </cell>
          <cell r="D49" t="str">
            <v>MUHAMMAD AZRIL ABIDZAR</v>
          </cell>
          <cell r="E49" t="str">
            <v>1B</v>
          </cell>
        </row>
        <row r="50">
          <cell r="C50">
            <v>2472</v>
          </cell>
          <cell r="D50" t="str">
            <v>MUHAMMAD DZAKI FATHIAN ALFARIZI</v>
          </cell>
          <cell r="E50" t="str">
            <v>1B</v>
          </cell>
        </row>
        <row r="51">
          <cell r="C51">
            <v>2482</v>
          </cell>
          <cell r="D51" t="str">
            <v>NALINDRIA AISYAH AZZAHRA</v>
          </cell>
          <cell r="E51" t="str">
            <v>1B</v>
          </cell>
        </row>
        <row r="52">
          <cell r="C52">
            <v>2485</v>
          </cell>
          <cell r="D52" t="str">
            <v>NAVISHA SHABIRA REENA</v>
          </cell>
          <cell r="E52" t="str">
            <v>1B</v>
          </cell>
        </row>
        <row r="53">
          <cell r="C53">
            <v>2488</v>
          </cell>
          <cell r="D53" t="str">
            <v>QUINSHA AZALEA PUTRI HADI</v>
          </cell>
          <cell r="E53" t="str">
            <v>1B</v>
          </cell>
        </row>
        <row r="54">
          <cell r="C54">
            <v>2490</v>
          </cell>
          <cell r="D54" t="str">
            <v>RAFAEYZA RAMADHIKA CHANDRA</v>
          </cell>
          <cell r="E54" t="str">
            <v>1B</v>
          </cell>
        </row>
        <row r="55">
          <cell r="C55">
            <v>2494</v>
          </cell>
          <cell r="D55" t="str">
            <v>RAFKAH ALFAKIH MULTAZAMAH</v>
          </cell>
          <cell r="E55" t="str">
            <v>1B</v>
          </cell>
        </row>
        <row r="56">
          <cell r="C56">
            <v>2495</v>
          </cell>
          <cell r="D56" t="str">
            <v>RAHIL ALMAHYRAH FIRDAUS</v>
          </cell>
          <cell r="E56" t="str">
            <v>1B</v>
          </cell>
        </row>
        <row r="57">
          <cell r="C57">
            <v>2498</v>
          </cell>
          <cell r="D57" t="str">
            <v>SABHIRA RUBINA ALZAN</v>
          </cell>
          <cell r="E57" t="str">
            <v>1B</v>
          </cell>
        </row>
        <row r="58">
          <cell r="C58">
            <v>2500</v>
          </cell>
          <cell r="D58" t="str">
            <v>SATRIYA PUTRA DEWANGGA</v>
          </cell>
          <cell r="E58" t="str">
            <v>1B</v>
          </cell>
        </row>
        <row r="59">
          <cell r="C59">
            <v>2503</v>
          </cell>
          <cell r="D59" t="str">
            <v>SYIFA NAJMA RAMADHANI</v>
          </cell>
          <cell r="E59" t="str">
            <v>1B</v>
          </cell>
        </row>
        <row r="60">
          <cell r="C60">
            <v>2506</v>
          </cell>
          <cell r="D60" t="str">
            <v>ZAYN MALIK PRADIBTA</v>
          </cell>
          <cell r="E60" t="str">
            <v>1B</v>
          </cell>
        </row>
        <row r="61">
          <cell r="C61">
            <v>2507</v>
          </cell>
          <cell r="D61" t="str">
            <v>ZIDAN HATTA PRATAMA</v>
          </cell>
          <cell r="E61" t="str">
            <v>1B</v>
          </cell>
        </row>
        <row r="62">
          <cell r="C62">
            <v>2420</v>
          </cell>
          <cell r="D62" t="str">
            <v>ABIMANA CAKRA RANAWIJAYA</v>
          </cell>
          <cell r="E62" t="str">
            <v>1C</v>
          </cell>
        </row>
        <row r="63">
          <cell r="C63">
            <v>2423</v>
          </cell>
          <cell r="D63" t="str">
            <v>AHNAF ZIYAN AHMAD</v>
          </cell>
          <cell r="E63" t="str">
            <v>1C</v>
          </cell>
        </row>
        <row r="64">
          <cell r="C64">
            <v>2425</v>
          </cell>
          <cell r="D64" t="str">
            <v>ALDIO ALFARIZQY SAKABUMI</v>
          </cell>
          <cell r="E64" t="str">
            <v>1C</v>
          </cell>
        </row>
        <row r="65">
          <cell r="C65">
            <v>2427</v>
          </cell>
          <cell r="D65" t="str">
            <v>ALESHA FAIRUZ ARRAFI</v>
          </cell>
          <cell r="E65" t="str">
            <v>1C</v>
          </cell>
        </row>
        <row r="66">
          <cell r="C66">
            <v>2428</v>
          </cell>
          <cell r="D66" t="str">
            <v>ALIFANA BESTARI PUTRI</v>
          </cell>
          <cell r="E66" t="str">
            <v>1C</v>
          </cell>
        </row>
        <row r="67">
          <cell r="C67">
            <v>2432</v>
          </cell>
          <cell r="D67" t="str">
            <v>ALVARENDRA DEVANKA SETYAWAN</v>
          </cell>
          <cell r="E67" t="str">
            <v>1C</v>
          </cell>
        </row>
        <row r="68">
          <cell r="C68">
            <v>2437</v>
          </cell>
          <cell r="D68" t="str">
            <v>ARSHAKA ZAFRAN ALFAREZI</v>
          </cell>
          <cell r="E68" t="str">
            <v>1C</v>
          </cell>
        </row>
        <row r="69">
          <cell r="C69">
            <v>2443</v>
          </cell>
          <cell r="D69" t="str">
            <v>BILAL NUR RAHSYA</v>
          </cell>
          <cell r="E69" t="str">
            <v>1C</v>
          </cell>
        </row>
        <row r="70">
          <cell r="C70">
            <v>2444</v>
          </cell>
          <cell r="D70" t="str">
            <v>CHAYRA SAKHI HAFIDZAH</v>
          </cell>
          <cell r="E70" t="str">
            <v>1C</v>
          </cell>
        </row>
        <row r="71">
          <cell r="C71">
            <v>2446</v>
          </cell>
          <cell r="D71" t="str">
            <v>DAISYA SABIRA HUMAIRA</v>
          </cell>
          <cell r="E71" t="str">
            <v>1C</v>
          </cell>
        </row>
        <row r="72">
          <cell r="C72">
            <v>2449</v>
          </cell>
          <cell r="D72" t="str">
            <v>EMIER DEVANANTA AL AMIN</v>
          </cell>
          <cell r="E72" t="str">
            <v>1C</v>
          </cell>
        </row>
        <row r="73">
          <cell r="C73">
            <v>2453</v>
          </cell>
          <cell r="D73" t="str">
            <v xml:space="preserve">FAYRA MIKHAYLA ALESHA </v>
          </cell>
          <cell r="E73" t="str">
            <v>1C</v>
          </cell>
        </row>
        <row r="74">
          <cell r="C74">
            <v>2454</v>
          </cell>
          <cell r="D74" t="str">
            <v>GADIS BRILIAN</v>
          </cell>
          <cell r="E74" t="str">
            <v>1C</v>
          </cell>
        </row>
        <row r="75">
          <cell r="C75">
            <v>2456</v>
          </cell>
          <cell r="D75" t="str">
            <v>GHINA SYA'BAN SUHAIMAH</v>
          </cell>
          <cell r="E75" t="str">
            <v>1C</v>
          </cell>
        </row>
        <row r="76">
          <cell r="C76">
            <v>2460</v>
          </cell>
          <cell r="D76" t="str">
            <v>IBRAHIM AL GHAZI SETIONO</v>
          </cell>
          <cell r="E76" t="str">
            <v>1C</v>
          </cell>
        </row>
        <row r="77">
          <cell r="C77">
            <v>2464</v>
          </cell>
          <cell r="D77" t="str">
            <v>KHADIJAH AZZARAH</v>
          </cell>
          <cell r="E77" t="str">
            <v>1C</v>
          </cell>
        </row>
        <row r="78">
          <cell r="C78">
            <v>2473</v>
          </cell>
          <cell r="D78" t="str">
            <v>MUHAMMAD JANUE BHASKARA</v>
          </cell>
          <cell r="E78" t="str">
            <v>1C</v>
          </cell>
        </row>
        <row r="79">
          <cell r="C79">
            <v>2475</v>
          </cell>
          <cell r="D79" t="str">
            <v>MUHAMMAD MIFZAL KAFEEL ALFARIZQI</v>
          </cell>
          <cell r="E79" t="str">
            <v>1C</v>
          </cell>
        </row>
        <row r="80">
          <cell r="C80">
            <v>2476</v>
          </cell>
          <cell r="D80" t="str">
            <v>MUHAMMAD RAFIF ALFARISKY</v>
          </cell>
          <cell r="E80" t="str">
            <v>1C</v>
          </cell>
        </row>
        <row r="81">
          <cell r="C81">
            <v>2477</v>
          </cell>
          <cell r="D81" t="str">
            <v>MUHAMMAD RASHAAD ALDRICH</v>
          </cell>
          <cell r="E81" t="str">
            <v>1C</v>
          </cell>
        </row>
        <row r="82">
          <cell r="C82">
            <v>2481</v>
          </cell>
          <cell r="D82" t="str">
            <v>NAFISAH AZ-ZAHRA</v>
          </cell>
          <cell r="E82" t="str">
            <v>1C</v>
          </cell>
        </row>
        <row r="83">
          <cell r="C83">
            <v>2483</v>
          </cell>
          <cell r="D83" t="str">
            <v>NANDITA PUTRI AYUNDA</v>
          </cell>
          <cell r="E83" t="str">
            <v>1C</v>
          </cell>
        </row>
        <row r="84">
          <cell r="C84">
            <v>2484</v>
          </cell>
          <cell r="D84" t="str">
            <v>NAURA AZKADINA PALUPI</v>
          </cell>
          <cell r="E84" t="str">
            <v>1C</v>
          </cell>
        </row>
        <row r="85">
          <cell r="C85">
            <v>2489</v>
          </cell>
          <cell r="D85" t="str">
            <v>RADITYA NUGROHO PUTRA</v>
          </cell>
          <cell r="E85" t="str">
            <v>1C</v>
          </cell>
        </row>
        <row r="86">
          <cell r="C86">
            <v>2492</v>
          </cell>
          <cell r="D86" t="str">
            <v>RAFFASYA FATIH ALBIRRU</v>
          </cell>
          <cell r="E86" t="str">
            <v>1C</v>
          </cell>
        </row>
        <row r="87">
          <cell r="C87">
            <v>2496</v>
          </cell>
          <cell r="D87" t="str">
            <v>RANIA MEYDHITA PRATAMA</v>
          </cell>
          <cell r="E87" t="str">
            <v>1C</v>
          </cell>
        </row>
        <row r="88">
          <cell r="C88">
            <v>2502</v>
          </cell>
          <cell r="D88" t="str">
            <v>SHIMA PRAMESWARI ASYARI</v>
          </cell>
          <cell r="E88" t="str">
            <v>1C</v>
          </cell>
        </row>
        <row r="89">
          <cell r="C89">
            <v>2504</v>
          </cell>
          <cell r="D89" t="str">
            <v>TAHEERA MUBARIKA</v>
          </cell>
          <cell r="E89" t="str">
            <v>1C</v>
          </cell>
        </row>
        <row r="90">
          <cell r="C90">
            <v>2505</v>
          </cell>
          <cell r="D90" t="str">
            <v>YUSSEF ALEKHINE</v>
          </cell>
          <cell r="E90" t="str">
            <v>1C</v>
          </cell>
        </row>
        <row r="91">
          <cell r="C91">
            <v>2327</v>
          </cell>
          <cell r="D91" t="str">
            <v>Adwitiya Keva Liha</v>
          </cell>
          <cell r="E91" t="str">
            <v>2A</v>
          </cell>
        </row>
        <row r="92">
          <cell r="C92">
            <v>2328</v>
          </cell>
          <cell r="D92" t="str">
            <v>Adzkiya Hafshah Zhafirah</v>
          </cell>
          <cell r="E92" t="str">
            <v>2A</v>
          </cell>
        </row>
        <row r="93">
          <cell r="C93">
            <v>2334</v>
          </cell>
          <cell r="D93" t="str">
            <v>Almahyra Kirana Putri Zakaria</v>
          </cell>
          <cell r="E93" t="str">
            <v>2A</v>
          </cell>
        </row>
        <row r="94">
          <cell r="C94">
            <v>2336</v>
          </cell>
          <cell r="D94" t="str">
            <v>Althaf Hafizh Nugroho</v>
          </cell>
          <cell r="E94" t="str">
            <v>2A</v>
          </cell>
        </row>
        <row r="95">
          <cell r="C95">
            <v>2339</v>
          </cell>
          <cell r="D95" t="str">
            <v>Arkananta Arif Argatsani</v>
          </cell>
          <cell r="E95" t="str">
            <v>2A</v>
          </cell>
        </row>
        <row r="96">
          <cell r="C96">
            <v>2340</v>
          </cell>
          <cell r="D96" t="str">
            <v>Arshaka Elfathan Syahmi</v>
          </cell>
          <cell r="E96" t="str">
            <v>2A</v>
          </cell>
        </row>
        <row r="97">
          <cell r="C97">
            <v>2343</v>
          </cell>
          <cell r="D97" t="str">
            <v>Azalea Citra Nirmala</v>
          </cell>
          <cell r="E97" t="str">
            <v>2A</v>
          </cell>
        </row>
        <row r="98">
          <cell r="C98">
            <v>2344</v>
          </cell>
          <cell r="D98" t="str">
            <v>Azqiara Salwa Zaleeka</v>
          </cell>
          <cell r="E98" t="str">
            <v>2A</v>
          </cell>
        </row>
        <row r="99">
          <cell r="C99">
            <v>2346</v>
          </cell>
          <cell r="D99" t="str">
            <v>Azril Abqari Purwanto</v>
          </cell>
          <cell r="E99" t="str">
            <v>2A</v>
          </cell>
        </row>
        <row r="100">
          <cell r="C100">
            <v>2351</v>
          </cell>
          <cell r="D100" t="str">
            <v>Cleona Dhianada Keshwari</v>
          </cell>
          <cell r="E100" t="str">
            <v>2A</v>
          </cell>
        </row>
        <row r="101">
          <cell r="C101">
            <v>2353</v>
          </cell>
          <cell r="D101" t="str">
            <v>Elshanum Suardita Almahira</v>
          </cell>
          <cell r="E101" t="str">
            <v>2A</v>
          </cell>
        </row>
        <row r="102">
          <cell r="C102">
            <v>2355</v>
          </cell>
          <cell r="D102" t="str">
            <v>Faizia Aqueensha Aysha Chandra</v>
          </cell>
          <cell r="E102" t="str">
            <v>2A</v>
          </cell>
        </row>
        <row r="103">
          <cell r="C103">
            <v>2356</v>
          </cell>
          <cell r="D103" t="str">
            <v>Fayola Disya Azzahra</v>
          </cell>
          <cell r="E103" t="str">
            <v>2A</v>
          </cell>
        </row>
        <row r="104">
          <cell r="C104">
            <v>2357</v>
          </cell>
          <cell r="D104" t="str">
            <v>Fiola Adelia Putri</v>
          </cell>
          <cell r="E104" t="str">
            <v>2A</v>
          </cell>
        </row>
        <row r="105">
          <cell r="C105">
            <v>2359</v>
          </cell>
          <cell r="D105" t="str">
            <v xml:space="preserve">Ghania Zaheen Alesha </v>
          </cell>
          <cell r="E105" t="str">
            <v>2A</v>
          </cell>
        </row>
        <row r="106">
          <cell r="C106">
            <v>2360</v>
          </cell>
          <cell r="D106" t="str">
            <v>Grizelle Janitra Balishaki</v>
          </cell>
          <cell r="E106" t="str">
            <v>2A</v>
          </cell>
        </row>
        <row r="107">
          <cell r="C107">
            <v>2361</v>
          </cell>
          <cell r="D107" t="str">
            <v>Hana Shafiyah Husein</v>
          </cell>
          <cell r="E107" t="str">
            <v>2A</v>
          </cell>
        </row>
        <row r="108">
          <cell r="C108">
            <v>2362</v>
          </cell>
          <cell r="D108" t="str">
            <v>Jadid Aryan Syahputra</v>
          </cell>
          <cell r="E108" t="str">
            <v>2A</v>
          </cell>
        </row>
        <row r="109">
          <cell r="C109">
            <v>2374</v>
          </cell>
          <cell r="D109" t="str">
            <v>Kienan Putri Prastyo</v>
          </cell>
          <cell r="E109" t="str">
            <v>2A</v>
          </cell>
        </row>
        <row r="110">
          <cell r="C110">
            <v>2375</v>
          </cell>
          <cell r="D110" t="str">
            <v>Lavechia Wicaksono</v>
          </cell>
          <cell r="E110" t="str">
            <v>2A</v>
          </cell>
        </row>
        <row r="111">
          <cell r="C111">
            <v>2377</v>
          </cell>
          <cell r="D111" t="str">
            <v>Mahendra Putra Basyaria Yahya</v>
          </cell>
          <cell r="E111" t="str">
            <v>2A</v>
          </cell>
        </row>
        <row r="112">
          <cell r="C112">
            <v>2384</v>
          </cell>
          <cell r="D112" t="str">
            <v>Muhammad Abizhar Elghurri</v>
          </cell>
          <cell r="E112" t="str">
            <v>2A</v>
          </cell>
        </row>
        <row r="113">
          <cell r="C113">
            <v>2385</v>
          </cell>
          <cell r="D113" t="str">
            <v>Muhammad Arsyad Amirullah Madjid</v>
          </cell>
          <cell r="E113" t="str">
            <v>2A</v>
          </cell>
        </row>
        <row r="114">
          <cell r="C114">
            <v>2388</v>
          </cell>
          <cell r="D114" t="str">
            <v>Muhammad Fatharian Zulfadli</v>
          </cell>
          <cell r="E114" t="str">
            <v>2A</v>
          </cell>
        </row>
        <row r="115">
          <cell r="C115">
            <v>2391</v>
          </cell>
          <cell r="D115" t="str">
            <v>Muhammad Gallendra Althario Radeva</v>
          </cell>
          <cell r="E115" t="str">
            <v>2A</v>
          </cell>
        </row>
        <row r="116">
          <cell r="C116">
            <v>2398</v>
          </cell>
          <cell r="D116" t="str">
            <v>Mudzaffar Fandy Al-Aswin Putra Kurniawan</v>
          </cell>
          <cell r="E116" t="str">
            <v>2A</v>
          </cell>
        </row>
        <row r="117">
          <cell r="C117">
            <v>2399</v>
          </cell>
          <cell r="D117" t="str">
            <v>Myesha Mafaza Miannuha</v>
          </cell>
          <cell r="E117" t="str">
            <v>2A</v>
          </cell>
        </row>
        <row r="118">
          <cell r="C118">
            <v>2405</v>
          </cell>
          <cell r="D118" t="str">
            <v>Qotrunnada Salsabila Ahmad</v>
          </cell>
          <cell r="E118" t="str">
            <v>2A</v>
          </cell>
        </row>
        <row r="119">
          <cell r="C119">
            <v>2408</v>
          </cell>
          <cell r="D119" t="str">
            <v>Reno Wahyu Adiwijaya</v>
          </cell>
          <cell r="E119" t="str">
            <v>2A</v>
          </cell>
        </row>
        <row r="120">
          <cell r="C120">
            <v>2412</v>
          </cell>
          <cell r="D120" t="str">
            <v>Salma Kanita</v>
          </cell>
          <cell r="E120" t="str">
            <v>2A</v>
          </cell>
        </row>
        <row r="121">
          <cell r="C121">
            <v>2416</v>
          </cell>
          <cell r="D121" t="str">
            <v>Taufiq Vikky Wardhana</v>
          </cell>
          <cell r="E121" t="str">
            <v>2A</v>
          </cell>
        </row>
        <row r="122">
          <cell r="C122">
            <v>2329</v>
          </cell>
          <cell r="D122" t="str">
            <v>Agam Halim Rahandhika</v>
          </cell>
          <cell r="E122" t="str">
            <v>2B</v>
          </cell>
        </row>
        <row r="123">
          <cell r="C123">
            <v>2331</v>
          </cell>
          <cell r="D123" t="str">
            <v>Aisyah Madaniyah</v>
          </cell>
          <cell r="E123" t="str">
            <v>2B</v>
          </cell>
        </row>
        <row r="124">
          <cell r="C124">
            <v>2332</v>
          </cell>
          <cell r="D124" t="str">
            <v>Akbar Rafiif Haidar Darmawan</v>
          </cell>
          <cell r="E124" t="str">
            <v>2B</v>
          </cell>
        </row>
        <row r="125">
          <cell r="C125">
            <v>2335</v>
          </cell>
          <cell r="D125" t="str">
            <v>Almeera Azzahra Alfathunnisa</v>
          </cell>
          <cell r="E125" t="str">
            <v>2B</v>
          </cell>
        </row>
        <row r="126">
          <cell r="C126">
            <v>2338</v>
          </cell>
          <cell r="D126" t="str">
            <v xml:space="preserve">Arba Al Qarni Amirullah </v>
          </cell>
          <cell r="E126" t="str">
            <v>2B</v>
          </cell>
        </row>
        <row r="127">
          <cell r="C127">
            <v>2341</v>
          </cell>
          <cell r="D127" t="str">
            <v>Arsyila Azmariza Yudisnia</v>
          </cell>
          <cell r="E127" t="str">
            <v>2B</v>
          </cell>
        </row>
        <row r="128">
          <cell r="C128">
            <v>2345</v>
          </cell>
          <cell r="D128" t="str">
            <v>Azriel Alfarizqi Putra Wibowo</v>
          </cell>
          <cell r="E128" t="str">
            <v>2B</v>
          </cell>
        </row>
        <row r="129">
          <cell r="C129">
            <v>2349</v>
          </cell>
          <cell r="D129" t="str">
            <v>Ceissya Maryam Zhafirrah Mulyanto</v>
          </cell>
          <cell r="E129" t="str">
            <v>2B</v>
          </cell>
        </row>
        <row r="130">
          <cell r="C130">
            <v>2354</v>
          </cell>
          <cell r="D130" t="str">
            <v>Embun Aldira Syaltri Kurniawan</v>
          </cell>
          <cell r="E130" t="str">
            <v>2B</v>
          </cell>
        </row>
        <row r="131">
          <cell r="C131">
            <v>2363</v>
          </cell>
          <cell r="D131" t="str">
            <v>Kaisara Mikayla Mecca</v>
          </cell>
          <cell r="E131" t="str">
            <v>2B</v>
          </cell>
        </row>
        <row r="132">
          <cell r="C132">
            <v>2367</v>
          </cell>
          <cell r="D132" t="str">
            <v>Khadijah Syifa Almira</v>
          </cell>
          <cell r="E132" t="str">
            <v>2B</v>
          </cell>
        </row>
        <row r="133">
          <cell r="C133">
            <v>2369</v>
          </cell>
          <cell r="D133" t="str">
            <v>Khansa Syafira Almahyra</v>
          </cell>
          <cell r="E133" t="str">
            <v>2B</v>
          </cell>
        </row>
        <row r="134">
          <cell r="C134">
            <v>2372</v>
          </cell>
          <cell r="D134" t="str">
            <v>Kiano Abrisam Zakaria</v>
          </cell>
          <cell r="E134" t="str">
            <v>2B</v>
          </cell>
        </row>
        <row r="135">
          <cell r="C135">
            <v>2373</v>
          </cell>
          <cell r="D135" t="str">
            <v>Kiara Ralinka Chelsea Nadinsyah</v>
          </cell>
          <cell r="E135" t="str">
            <v>2B</v>
          </cell>
        </row>
        <row r="136">
          <cell r="C136">
            <v>2396</v>
          </cell>
          <cell r="D136" t="str">
            <v>Muhammad Rizky Kahfi Kurniawan</v>
          </cell>
          <cell r="E136" t="str">
            <v>2B</v>
          </cell>
        </row>
        <row r="137">
          <cell r="C137">
            <v>2378</v>
          </cell>
          <cell r="D137" t="str">
            <v>Makaira Azalea Telata</v>
          </cell>
          <cell r="E137" t="str">
            <v>2B</v>
          </cell>
        </row>
        <row r="138">
          <cell r="C138">
            <v>2380</v>
          </cell>
          <cell r="D138" t="str">
            <v>Medina Dazlin Darsono</v>
          </cell>
          <cell r="E138" t="str">
            <v>2B</v>
          </cell>
        </row>
        <row r="139">
          <cell r="C139">
            <v>2382</v>
          </cell>
          <cell r="D139" t="str">
            <v>Mohammad Ibrahim Akmal Safrudin</v>
          </cell>
          <cell r="E139" t="str">
            <v>2B</v>
          </cell>
        </row>
        <row r="140">
          <cell r="C140">
            <v>2383</v>
          </cell>
          <cell r="D140" t="str">
            <v>Muchammad Abizar Al Farizi Zulkarnaen</v>
          </cell>
          <cell r="E140" t="str">
            <v>2B</v>
          </cell>
        </row>
        <row r="141">
          <cell r="C141">
            <v>2392</v>
          </cell>
          <cell r="D141" t="str">
            <v>Muhammad Hamish Farizi</v>
          </cell>
          <cell r="E141" t="str">
            <v>2B</v>
          </cell>
        </row>
        <row r="142">
          <cell r="C142">
            <v>2394</v>
          </cell>
          <cell r="D142" t="str">
            <v>Muhammad Kenzo Zidni Mubarak</v>
          </cell>
          <cell r="E142" t="str">
            <v>2B</v>
          </cell>
        </row>
        <row r="143">
          <cell r="C143">
            <v>2397</v>
          </cell>
          <cell r="D143" t="str">
            <v>Muhammad Shankara Syailendra</v>
          </cell>
          <cell r="E143" t="str">
            <v>2B</v>
          </cell>
        </row>
        <row r="144">
          <cell r="C144">
            <v>2400</v>
          </cell>
          <cell r="D144" t="str">
            <v>Nafisha Elvina Putri</v>
          </cell>
          <cell r="E144" t="str">
            <v>2B</v>
          </cell>
        </row>
        <row r="145">
          <cell r="C145">
            <v>2401</v>
          </cell>
          <cell r="D145" t="str">
            <v>Naifah Milena Alicia</v>
          </cell>
          <cell r="E145" t="str">
            <v>2B</v>
          </cell>
        </row>
        <row r="146">
          <cell r="C146">
            <v>2402</v>
          </cell>
          <cell r="D146" t="str">
            <v>Naura Putri Rohman</v>
          </cell>
          <cell r="E146" t="str">
            <v>2B</v>
          </cell>
        </row>
        <row r="147">
          <cell r="C147">
            <v>2404</v>
          </cell>
          <cell r="D147" t="str">
            <v>Qaireen Arsyila Shanum</v>
          </cell>
          <cell r="E147" t="str">
            <v>2B</v>
          </cell>
        </row>
        <row r="148">
          <cell r="C148">
            <v>2406</v>
          </cell>
          <cell r="D148" t="str">
            <v>Rafaizan Kenji Widianto</v>
          </cell>
          <cell r="E148" t="str">
            <v>2B</v>
          </cell>
        </row>
        <row r="149">
          <cell r="C149">
            <v>2409</v>
          </cell>
          <cell r="D149" t="str">
            <v>Rumy Sarahza Sulthoni</v>
          </cell>
          <cell r="E149" t="str">
            <v>2B</v>
          </cell>
        </row>
        <row r="150">
          <cell r="C150">
            <v>2411</v>
          </cell>
          <cell r="D150" t="str">
            <v>Salahuddin Al Ayyubi Miftah</v>
          </cell>
          <cell r="E150" t="str">
            <v>2B</v>
          </cell>
        </row>
        <row r="151">
          <cell r="C151">
            <v>2415</v>
          </cell>
          <cell r="D151" t="str">
            <v>Syafira Lubna Ainul Afifah</v>
          </cell>
          <cell r="E151" t="str">
            <v>2B</v>
          </cell>
        </row>
        <row r="152">
          <cell r="C152">
            <v>2417</v>
          </cell>
          <cell r="D152" t="str">
            <v>Tisha Karima Firdausi</v>
          </cell>
          <cell r="E152" t="str">
            <v>2B</v>
          </cell>
        </row>
        <row r="153">
          <cell r="C153">
            <v>2330</v>
          </cell>
          <cell r="D153" t="str">
            <v>Aghniya Almahira Syah Wahmuda</v>
          </cell>
          <cell r="E153" t="str">
            <v>2C</v>
          </cell>
        </row>
        <row r="154">
          <cell r="C154">
            <v>2326</v>
          </cell>
          <cell r="D154" t="str">
            <v>Achmad Zein Al Fatih</v>
          </cell>
          <cell r="E154" t="str">
            <v>2C</v>
          </cell>
        </row>
        <row r="155">
          <cell r="C155">
            <v>2333</v>
          </cell>
          <cell r="D155" t="str">
            <v>Aliya Fatimah Nur Yahya</v>
          </cell>
          <cell r="E155" t="str">
            <v>2C</v>
          </cell>
        </row>
        <row r="156">
          <cell r="C156">
            <v>2337</v>
          </cell>
          <cell r="D156" t="str">
            <v>Aradea Orlin Myesha</v>
          </cell>
          <cell r="E156" t="str">
            <v>2C</v>
          </cell>
        </row>
        <row r="157">
          <cell r="C157">
            <v>2342</v>
          </cell>
          <cell r="D157" t="str">
            <v>Ayesha Shanum Permana</v>
          </cell>
          <cell r="E157" t="str">
            <v>2C</v>
          </cell>
        </row>
        <row r="158">
          <cell r="C158">
            <v>2347</v>
          </cell>
          <cell r="D158" t="str">
            <v>Azura Hanindia Hafidzah</v>
          </cell>
          <cell r="E158" t="str">
            <v>2C</v>
          </cell>
        </row>
        <row r="159">
          <cell r="C159">
            <v>2348</v>
          </cell>
          <cell r="D159" t="str">
            <v>Bellvania Fahima Defne Banafsha</v>
          </cell>
          <cell r="E159" t="str">
            <v>2C</v>
          </cell>
        </row>
        <row r="160">
          <cell r="C160">
            <v>2350</v>
          </cell>
          <cell r="D160" t="str">
            <v>Clarissa Mecca Islamiaddin</v>
          </cell>
          <cell r="E160" t="str">
            <v>2C</v>
          </cell>
        </row>
        <row r="161">
          <cell r="C161">
            <v>2352</v>
          </cell>
          <cell r="D161" t="str">
            <v>Dzaki Nararya Sandi</v>
          </cell>
          <cell r="E161" t="str">
            <v>2C</v>
          </cell>
        </row>
        <row r="162">
          <cell r="C162">
            <v>2358</v>
          </cell>
          <cell r="D162" t="str">
            <v>Gavyn Pradipta Assensio</v>
          </cell>
          <cell r="E162" t="str">
            <v>2C</v>
          </cell>
        </row>
        <row r="163">
          <cell r="C163">
            <v>2325</v>
          </cell>
          <cell r="D163" t="str">
            <v>’Izz Az-Zahra Al-Faizin</v>
          </cell>
          <cell r="E163" t="str">
            <v>2C</v>
          </cell>
        </row>
        <row r="164">
          <cell r="C164">
            <v>2364</v>
          </cell>
          <cell r="D164" t="str">
            <v>Kaldera Bening Suharjadi</v>
          </cell>
          <cell r="E164" t="str">
            <v>2C</v>
          </cell>
        </row>
        <row r="165">
          <cell r="C165">
            <v>2365</v>
          </cell>
          <cell r="D165" t="str">
            <v>Kanasya Qiandra El Shanum</v>
          </cell>
          <cell r="E165" t="str">
            <v>2C</v>
          </cell>
        </row>
        <row r="166">
          <cell r="C166">
            <v>2366</v>
          </cell>
          <cell r="D166" t="str">
            <v>Ken Ayu Gendhis Adreenareswari</v>
          </cell>
          <cell r="E166" t="str">
            <v>2C</v>
          </cell>
        </row>
        <row r="167">
          <cell r="C167">
            <v>2370</v>
          </cell>
          <cell r="D167" t="str">
            <v>Khaylilla Annisa Santoso</v>
          </cell>
          <cell r="E167" t="str">
            <v>2C</v>
          </cell>
        </row>
        <row r="168">
          <cell r="C168">
            <v>2371</v>
          </cell>
          <cell r="D168" t="str">
            <v>Khayra Queenshabella Andriyanky</v>
          </cell>
          <cell r="E168" t="str">
            <v>2C</v>
          </cell>
        </row>
        <row r="169">
          <cell r="C169">
            <v>2376</v>
          </cell>
          <cell r="D169" t="str">
            <v>Mafaza Hilya Heninda Putri</v>
          </cell>
          <cell r="E169" t="str">
            <v>2C</v>
          </cell>
        </row>
        <row r="170">
          <cell r="C170">
            <v>2379</v>
          </cell>
          <cell r="D170" t="str">
            <v>Maulana Zhafir Akbar Firdaus</v>
          </cell>
          <cell r="E170" t="str">
            <v>2C</v>
          </cell>
        </row>
        <row r="171">
          <cell r="C171">
            <v>2381</v>
          </cell>
          <cell r="D171" t="str">
            <v>Mikhayla Yurla Azzahra</v>
          </cell>
          <cell r="E171" t="str">
            <v>2C</v>
          </cell>
        </row>
        <row r="172">
          <cell r="C172">
            <v>2386</v>
          </cell>
          <cell r="D172" t="str">
            <v>Muhammad Azzam Izzulhaq</v>
          </cell>
          <cell r="E172" t="str">
            <v>2C</v>
          </cell>
        </row>
        <row r="173">
          <cell r="C173">
            <v>2387</v>
          </cell>
          <cell r="D173" t="str">
            <v>Muhammad Dimar Nusantara</v>
          </cell>
          <cell r="E173" t="str">
            <v>2C</v>
          </cell>
        </row>
        <row r="174">
          <cell r="C174">
            <v>2389</v>
          </cell>
          <cell r="D174" t="str">
            <v>Muhammad Fathullah Alhadrami</v>
          </cell>
          <cell r="E174" t="str">
            <v>2C</v>
          </cell>
        </row>
        <row r="175">
          <cell r="C175">
            <v>2390</v>
          </cell>
          <cell r="D175" t="str">
            <v>Muhammad Fino Ramadhani</v>
          </cell>
          <cell r="E175" t="str">
            <v>2C</v>
          </cell>
        </row>
        <row r="176">
          <cell r="C176">
            <v>2393</v>
          </cell>
          <cell r="D176" t="str">
            <v>Muhammad Husein Asy'arii</v>
          </cell>
          <cell r="E176" t="str">
            <v>2C</v>
          </cell>
        </row>
        <row r="177">
          <cell r="C177">
            <v>2395</v>
          </cell>
          <cell r="D177" t="str">
            <v>Muhammad Rayyan Alfarezi</v>
          </cell>
          <cell r="E177" t="str">
            <v>2C</v>
          </cell>
        </row>
        <row r="178">
          <cell r="C178">
            <v>2403</v>
          </cell>
          <cell r="D178" t="str">
            <v>Nizam Al Faruq</v>
          </cell>
          <cell r="E178" t="str">
            <v>2C</v>
          </cell>
        </row>
        <row r="179">
          <cell r="C179">
            <v>2407</v>
          </cell>
          <cell r="D179" t="str">
            <v>Rahel Anindita Shadiqa</v>
          </cell>
          <cell r="E179" t="str">
            <v>2C</v>
          </cell>
        </row>
        <row r="180">
          <cell r="C180">
            <v>2410</v>
          </cell>
          <cell r="D180" t="str">
            <v>Sabria Hazna Zahrany</v>
          </cell>
          <cell r="E180" t="str">
            <v>2C</v>
          </cell>
        </row>
        <row r="181">
          <cell r="C181">
            <v>2413</v>
          </cell>
          <cell r="D181" t="str">
            <v>Shafeeya Hafshah Arafat</v>
          </cell>
          <cell r="E181" t="str">
            <v>2C</v>
          </cell>
        </row>
        <row r="182">
          <cell r="C182">
            <v>2414</v>
          </cell>
          <cell r="D182" t="str">
            <v>Shana Clemira Effendi</v>
          </cell>
          <cell r="E182" t="str">
            <v>2C</v>
          </cell>
        </row>
        <row r="183">
          <cell r="C183">
            <v>2418</v>
          </cell>
          <cell r="D183" t="str">
            <v>Zea Amelia</v>
          </cell>
          <cell r="E183" t="str">
            <v>2C</v>
          </cell>
        </row>
        <row r="184">
          <cell r="C184">
            <v>2234</v>
          </cell>
          <cell r="D184" t="str">
            <v>Afif Ahwal Saidirrohman</v>
          </cell>
          <cell r="E184" t="str">
            <v>3A</v>
          </cell>
        </row>
        <row r="185">
          <cell r="C185">
            <v>2235</v>
          </cell>
          <cell r="D185" t="str">
            <v xml:space="preserve">Ahmad Rizky Zainul Arif </v>
          </cell>
          <cell r="E185" t="str">
            <v>3A</v>
          </cell>
        </row>
        <row r="186">
          <cell r="C186">
            <v>2236</v>
          </cell>
          <cell r="D186" t="str">
            <v>Ahmad Salim Azzamy</v>
          </cell>
          <cell r="E186" t="str">
            <v>3A</v>
          </cell>
        </row>
        <row r="187">
          <cell r="C187">
            <v>2238</v>
          </cell>
          <cell r="D187" t="str">
            <v>Alesya Almahyra Putri</v>
          </cell>
          <cell r="E187" t="str">
            <v>3A</v>
          </cell>
        </row>
        <row r="188">
          <cell r="C188">
            <v>2241</v>
          </cell>
          <cell r="D188" t="str">
            <v>Alin Malikatul Sittun Nisa Aprianto</v>
          </cell>
          <cell r="E188" t="str">
            <v>3A</v>
          </cell>
        </row>
        <row r="189">
          <cell r="C189">
            <v>2246</v>
          </cell>
          <cell r="D189" t="str">
            <v>Arkana Harya Saputra</v>
          </cell>
          <cell r="E189" t="str">
            <v>3A</v>
          </cell>
        </row>
        <row r="190">
          <cell r="C190">
            <v>2250</v>
          </cell>
          <cell r="D190" t="str">
            <v>Ashalina Fauza</v>
          </cell>
          <cell r="E190" t="str">
            <v>3A</v>
          </cell>
        </row>
        <row r="191">
          <cell r="C191">
            <v>2256</v>
          </cell>
          <cell r="D191" t="str">
            <v>Briliant Kahiyang Putri</v>
          </cell>
          <cell r="E191" t="str">
            <v>3A</v>
          </cell>
        </row>
        <row r="192">
          <cell r="C192">
            <v>2259</v>
          </cell>
          <cell r="D192" t="str">
            <v>Cerelia Arsyila Patria Romeesa</v>
          </cell>
          <cell r="E192" t="str">
            <v>3A</v>
          </cell>
        </row>
        <row r="193">
          <cell r="C193">
            <v>2260</v>
          </cell>
          <cell r="D193" t="str">
            <v>Chayra Khaliqa Gavaputri Hanif</v>
          </cell>
          <cell r="E193" t="str">
            <v>3A</v>
          </cell>
        </row>
        <row r="194">
          <cell r="C194">
            <v>2262</v>
          </cell>
          <cell r="D194" t="str">
            <v>Deera Amelyaa Rachman</v>
          </cell>
          <cell r="E194" t="str">
            <v>3A</v>
          </cell>
        </row>
        <row r="195">
          <cell r="C195">
            <v>2265</v>
          </cell>
          <cell r="D195" t="str">
            <v>Dwi Nur Anggita</v>
          </cell>
          <cell r="E195" t="str">
            <v>3A</v>
          </cell>
        </row>
        <row r="196">
          <cell r="C196">
            <v>2266</v>
          </cell>
          <cell r="D196" t="str">
            <v>Faradiba Khairunnisa Nabila</v>
          </cell>
          <cell r="E196" t="str">
            <v>3A</v>
          </cell>
        </row>
        <row r="197">
          <cell r="C197">
            <v>2272</v>
          </cell>
          <cell r="D197" t="str">
            <v>Hafshah Zaviera Permadi</v>
          </cell>
          <cell r="E197" t="str">
            <v>3A</v>
          </cell>
        </row>
        <row r="198">
          <cell r="C198">
            <v>2274</v>
          </cell>
          <cell r="D198" t="str">
            <v>Ibrahim Pratama Putra</v>
          </cell>
          <cell r="E198" t="str">
            <v>3A</v>
          </cell>
        </row>
        <row r="199">
          <cell r="C199">
            <v>2282</v>
          </cell>
          <cell r="D199" t="str">
            <v>Khanza Shidqia Firnandyah</v>
          </cell>
          <cell r="E199" t="str">
            <v>3A</v>
          </cell>
        </row>
        <row r="200">
          <cell r="C200">
            <v>2283</v>
          </cell>
          <cell r="D200" t="str">
            <v>Kirana Ashila Wilbert</v>
          </cell>
          <cell r="E200" t="str">
            <v>3A</v>
          </cell>
        </row>
        <row r="201">
          <cell r="C201">
            <v>2284</v>
          </cell>
          <cell r="D201" t="str">
            <v>M. Reynan Azka Satria Putra</v>
          </cell>
          <cell r="E201" t="str">
            <v>3A</v>
          </cell>
        </row>
        <row r="202">
          <cell r="C202">
            <v>2287</v>
          </cell>
          <cell r="D202" t="str">
            <v>Muhammad  Affan El Othman</v>
          </cell>
          <cell r="E202" t="str">
            <v>3A</v>
          </cell>
        </row>
        <row r="203">
          <cell r="C203">
            <v>2293</v>
          </cell>
          <cell r="D203" t="str">
            <v>Muhammad Al Azka Dzakiandra Siwi</v>
          </cell>
          <cell r="E203" t="str">
            <v>3A</v>
          </cell>
        </row>
        <row r="204">
          <cell r="C204">
            <v>2288</v>
          </cell>
          <cell r="D204" t="str">
            <v>Muhammad Zubair Almakki</v>
          </cell>
          <cell r="E204" t="str">
            <v>3A</v>
          </cell>
        </row>
        <row r="205">
          <cell r="C205">
            <v>2299</v>
          </cell>
          <cell r="D205" t="str">
            <v>Nawfan Abdul Latif</v>
          </cell>
          <cell r="E205" t="str">
            <v>3A</v>
          </cell>
        </row>
        <row r="206">
          <cell r="C206">
            <v>2302</v>
          </cell>
          <cell r="D206" t="str">
            <v>Nusaibah Jannatun Najmi</v>
          </cell>
          <cell r="E206" t="str">
            <v>3A</v>
          </cell>
        </row>
        <row r="207">
          <cell r="C207">
            <v>2306</v>
          </cell>
          <cell r="D207" t="str">
            <v>Rezayan Qolbi</v>
          </cell>
          <cell r="E207" t="str">
            <v>3A</v>
          </cell>
        </row>
        <row r="208">
          <cell r="C208">
            <v>2307</v>
          </cell>
          <cell r="D208" t="str">
            <v>Rifqi Alfarisi</v>
          </cell>
          <cell r="E208" t="str">
            <v>3A</v>
          </cell>
        </row>
        <row r="209">
          <cell r="C209">
            <v>2311</v>
          </cell>
          <cell r="D209" t="str">
            <v>Shafiyyah Rayyana Zahra</v>
          </cell>
          <cell r="E209" t="str">
            <v>3A</v>
          </cell>
        </row>
        <row r="210">
          <cell r="C210">
            <v>2312</v>
          </cell>
          <cell r="D210" t="str">
            <v>Shanaya Naura Rahma</v>
          </cell>
          <cell r="E210" t="str">
            <v>3A</v>
          </cell>
        </row>
        <row r="211">
          <cell r="C211">
            <v>2314</v>
          </cell>
          <cell r="D211" t="str">
            <v>Shaqueena Adreena Mecca</v>
          </cell>
          <cell r="E211" t="str">
            <v>3A</v>
          </cell>
        </row>
        <row r="212">
          <cell r="C212">
            <v>2317</v>
          </cell>
          <cell r="D212" t="str">
            <v>Uzlifatul Jannah</v>
          </cell>
          <cell r="E212" t="str">
            <v>3A</v>
          </cell>
        </row>
        <row r="213">
          <cell r="C213">
            <v>2233</v>
          </cell>
          <cell r="D213" t="str">
            <v>Abrizam Ahyan</v>
          </cell>
          <cell r="E213" t="str">
            <v>3B</v>
          </cell>
        </row>
        <row r="214">
          <cell r="C214">
            <v>2239</v>
          </cell>
          <cell r="D214" t="str">
            <v>Alesha Queenara Melody</v>
          </cell>
          <cell r="E214" t="str">
            <v>3B</v>
          </cell>
        </row>
        <row r="215">
          <cell r="C215">
            <v>2242</v>
          </cell>
          <cell r="D215" t="str">
            <v>Almaira Aqilla Shanum Prasetyo</v>
          </cell>
          <cell r="E215" t="str">
            <v>3B</v>
          </cell>
        </row>
        <row r="216">
          <cell r="C216">
            <v>2243</v>
          </cell>
          <cell r="D216" t="str">
            <v>Aqeela Fazia Saputra</v>
          </cell>
          <cell r="E216" t="str">
            <v>3B</v>
          </cell>
        </row>
        <row r="217">
          <cell r="C217">
            <v>2244</v>
          </cell>
          <cell r="D217" t="str">
            <v>Arfabian Xavier Rasyafariq</v>
          </cell>
          <cell r="E217" t="str">
            <v>3B</v>
          </cell>
        </row>
        <row r="218">
          <cell r="C218">
            <v>2248</v>
          </cell>
          <cell r="D218" t="str">
            <v>Arsyila Nuha Zahira Winanti</v>
          </cell>
          <cell r="E218" t="str">
            <v>3B</v>
          </cell>
        </row>
        <row r="219">
          <cell r="C219">
            <v>2253</v>
          </cell>
          <cell r="D219" t="str">
            <v>Aura Bethari Embun Maulida</v>
          </cell>
          <cell r="E219" t="str">
            <v>3B</v>
          </cell>
        </row>
        <row r="220">
          <cell r="C220">
            <v>2254</v>
          </cell>
          <cell r="D220" t="str">
            <v>Ayumi Tianzee Wijaya</v>
          </cell>
          <cell r="E220" t="str">
            <v>3B</v>
          </cell>
        </row>
        <row r="221">
          <cell r="C221">
            <v>2257</v>
          </cell>
          <cell r="D221" t="str">
            <v>Caitlin Nazyaqueen Rahadian</v>
          </cell>
          <cell r="E221" t="str">
            <v>3B</v>
          </cell>
        </row>
        <row r="222">
          <cell r="C222">
            <v>2268</v>
          </cell>
          <cell r="D222" t="str">
            <v>Floweria Afsheen Azzahra</v>
          </cell>
          <cell r="E222" t="str">
            <v>3B</v>
          </cell>
        </row>
        <row r="223">
          <cell r="C223">
            <v>2271</v>
          </cell>
          <cell r="D223" t="str">
            <v>Hadijah Malaika Aurora Desiree</v>
          </cell>
          <cell r="E223" t="str">
            <v>3B</v>
          </cell>
        </row>
        <row r="224">
          <cell r="C224">
            <v>2273</v>
          </cell>
          <cell r="D224" t="str">
            <v>Harumi Laksana Widyanata</v>
          </cell>
          <cell r="E224" t="str">
            <v>3B</v>
          </cell>
        </row>
        <row r="225">
          <cell r="C225">
            <v>2275</v>
          </cell>
          <cell r="D225" t="str">
            <v>Isco Nazilal Haqiqi</v>
          </cell>
          <cell r="E225" t="str">
            <v>3B</v>
          </cell>
        </row>
        <row r="226">
          <cell r="C226">
            <v>2277</v>
          </cell>
          <cell r="D226" t="str">
            <v>Karimah Adzkiyah Athifa</v>
          </cell>
          <cell r="E226" t="str">
            <v>3B</v>
          </cell>
        </row>
        <row r="227">
          <cell r="C227">
            <v>2279</v>
          </cell>
          <cell r="D227" t="str">
            <v>Keinarra Aqueena Safa Hapsari</v>
          </cell>
          <cell r="E227" t="str">
            <v>3B</v>
          </cell>
        </row>
        <row r="228">
          <cell r="C228">
            <v>2286</v>
          </cell>
          <cell r="D228" t="str">
            <v>Moh. Munzir Haqiqi</v>
          </cell>
          <cell r="E228" t="str">
            <v>3B</v>
          </cell>
        </row>
        <row r="229">
          <cell r="C229">
            <v>2289</v>
          </cell>
          <cell r="D229" t="str">
            <v>Muhammad  Althaffano Dhanurendra Tama</v>
          </cell>
          <cell r="E229" t="str">
            <v>3B</v>
          </cell>
        </row>
        <row r="230">
          <cell r="C230">
            <v>2290</v>
          </cell>
          <cell r="D230" t="str">
            <v>Muhammad Azfar El-Barraq</v>
          </cell>
          <cell r="E230" t="str">
            <v>3B</v>
          </cell>
        </row>
        <row r="231">
          <cell r="C231">
            <v>2291</v>
          </cell>
          <cell r="D231" t="str">
            <v>Muhammad Faisal Haq</v>
          </cell>
          <cell r="E231" t="str">
            <v>3B</v>
          </cell>
        </row>
        <row r="232">
          <cell r="C232">
            <v>2292</v>
          </cell>
          <cell r="D232" t="str">
            <v>Muhammad Zayyan Al Fatih</v>
          </cell>
          <cell r="E232" t="str">
            <v>3B</v>
          </cell>
        </row>
        <row r="233">
          <cell r="C233">
            <v>2296</v>
          </cell>
          <cell r="D233" t="str">
            <v>Muzakki Saka Ganis</v>
          </cell>
          <cell r="E233" t="str">
            <v>3B</v>
          </cell>
        </row>
        <row r="234">
          <cell r="C234">
            <v>2297</v>
          </cell>
          <cell r="D234" t="str">
            <v>Nadira Arifany Safrudin</v>
          </cell>
          <cell r="E234" t="str">
            <v>3B</v>
          </cell>
        </row>
        <row r="235">
          <cell r="C235">
            <v>2298</v>
          </cell>
          <cell r="D235" t="str">
            <v>Naila Fadhilatur Rohmah</v>
          </cell>
          <cell r="E235" t="str">
            <v>3B</v>
          </cell>
        </row>
        <row r="236">
          <cell r="C236">
            <v>2301</v>
          </cell>
          <cell r="D236" t="str">
            <v>Noura Claresta Prasetyo</v>
          </cell>
          <cell r="E236" t="str">
            <v>3B</v>
          </cell>
        </row>
        <row r="237">
          <cell r="C237">
            <v>2303</v>
          </cell>
          <cell r="D237" t="str">
            <v>Queen Mikhayla Putri Susanto</v>
          </cell>
          <cell r="E237" t="str">
            <v>3B</v>
          </cell>
        </row>
        <row r="238">
          <cell r="C238">
            <v>2305</v>
          </cell>
          <cell r="D238" t="str">
            <v>Razel Asyraf Ghaisan Setiawan</v>
          </cell>
          <cell r="E238" t="str">
            <v>3B</v>
          </cell>
        </row>
        <row r="239">
          <cell r="C239">
            <v>2308</v>
          </cell>
          <cell r="D239" t="str">
            <v>Rijal Maulana Gibran</v>
          </cell>
          <cell r="E239" t="str">
            <v>3B</v>
          </cell>
        </row>
        <row r="240">
          <cell r="C240">
            <v>2309</v>
          </cell>
          <cell r="D240" t="str">
            <v>Ryshaka Evanno Setiawan</v>
          </cell>
          <cell r="E240" t="str">
            <v>3B</v>
          </cell>
        </row>
        <row r="241">
          <cell r="C241">
            <v>2313</v>
          </cell>
          <cell r="D241" t="str">
            <v>Shakila Najma Kurniawan</v>
          </cell>
          <cell r="E241" t="str">
            <v>3B</v>
          </cell>
        </row>
        <row r="242">
          <cell r="C242">
            <v>2320</v>
          </cell>
          <cell r="D242" t="str">
            <v>Zhafran Elnath Saputra</v>
          </cell>
          <cell r="E242" t="str">
            <v>3B</v>
          </cell>
        </row>
        <row r="243">
          <cell r="C243">
            <v>2237</v>
          </cell>
          <cell r="D243" t="str">
            <v>Ahmad Rosyid Shohihul Zafran</v>
          </cell>
          <cell r="E243" t="str">
            <v>3C</v>
          </cell>
        </row>
        <row r="244">
          <cell r="C244">
            <v>2240</v>
          </cell>
          <cell r="D244" t="str">
            <v>Alifa Naufalyn Fikria Rabbani</v>
          </cell>
          <cell r="E244" t="str">
            <v>3C</v>
          </cell>
        </row>
        <row r="245">
          <cell r="C245">
            <v>2430</v>
          </cell>
          <cell r="D245" t="str">
            <v>Almeer Firaz Fandiansyah</v>
          </cell>
          <cell r="E245" t="str">
            <v>3C</v>
          </cell>
        </row>
        <row r="246">
          <cell r="C246">
            <v>2245</v>
          </cell>
          <cell r="D246" t="str">
            <v>Arista Medina Ainur Rhosid</v>
          </cell>
          <cell r="E246" t="str">
            <v>3C</v>
          </cell>
        </row>
        <row r="247">
          <cell r="C247">
            <v>2247</v>
          </cell>
          <cell r="D247" t="str">
            <v>Arka Bhumi Ahmad</v>
          </cell>
          <cell r="E247" t="str">
            <v>3C</v>
          </cell>
        </row>
        <row r="248">
          <cell r="C248">
            <v>2249</v>
          </cell>
          <cell r="D248" t="str">
            <v>Arzaquna Arif Pratama</v>
          </cell>
          <cell r="E248" t="str">
            <v>3C</v>
          </cell>
        </row>
        <row r="249">
          <cell r="C249">
            <v>2251</v>
          </cell>
          <cell r="D249" t="str">
            <v>Ataya Ghali Alfarezel</v>
          </cell>
          <cell r="E249" t="str">
            <v>3C</v>
          </cell>
        </row>
        <row r="250">
          <cell r="C250">
            <v>2252</v>
          </cell>
          <cell r="D250" t="str">
            <v>Atharrayhan Abhivandya Chandra</v>
          </cell>
          <cell r="E250" t="str">
            <v>3C</v>
          </cell>
        </row>
        <row r="251">
          <cell r="C251">
            <v>2255</v>
          </cell>
          <cell r="D251" t="str">
            <v>Azzalea Shagufta Khayru Akalanka</v>
          </cell>
          <cell r="E251" t="str">
            <v>3C</v>
          </cell>
        </row>
        <row r="252">
          <cell r="C252">
            <v>2258</v>
          </cell>
          <cell r="D252" t="str">
            <v>Celsa Ezora Frandiansyah</v>
          </cell>
          <cell r="E252" t="str">
            <v>3C</v>
          </cell>
        </row>
        <row r="253">
          <cell r="C253">
            <v>2261</v>
          </cell>
          <cell r="D253" t="str">
            <v>Clarissa Hasya Azkayra</v>
          </cell>
          <cell r="E253" t="str">
            <v>3C</v>
          </cell>
        </row>
        <row r="254">
          <cell r="C254">
            <v>2263</v>
          </cell>
          <cell r="D254" t="str">
            <v>Defa Aliya Putri Navita</v>
          </cell>
          <cell r="E254" t="str">
            <v>3C</v>
          </cell>
        </row>
        <row r="255">
          <cell r="C255">
            <v>2264</v>
          </cell>
          <cell r="D255" t="str">
            <v>Dheviana Chaya Ramadhani Putri</v>
          </cell>
          <cell r="E255" t="str">
            <v>3C</v>
          </cell>
        </row>
        <row r="256">
          <cell r="C256">
            <v>2267</v>
          </cell>
          <cell r="D256" t="str">
            <v>Fitri Ramadhani Chandra Idrus</v>
          </cell>
          <cell r="E256" t="str">
            <v>3C</v>
          </cell>
        </row>
        <row r="257">
          <cell r="C257">
            <v>2269</v>
          </cell>
          <cell r="D257" t="str">
            <v>Gendhis Nugroho Putri</v>
          </cell>
          <cell r="E257" t="str">
            <v>3C</v>
          </cell>
        </row>
        <row r="258">
          <cell r="C258">
            <v>2270</v>
          </cell>
          <cell r="D258" t="str">
            <v>Ghazi Attar Alhuda</v>
          </cell>
          <cell r="E258" t="str">
            <v>3C</v>
          </cell>
        </row>
        <row r="259">
          <cell r="C259">
            <v>2276</v>
          </cell>
          <cell r="D259" t="str">
            <v>Jennaira Aisyah Mikayla Prabowo</v>
          </cell>
          <cell r="E259" t="str">
            <v>3C</v>
          </cell>
        </row>
        <row r="260">
          <cell r="C260">
            <v>2278</v>
          </cell>
          <cell r="D260" t="str">
            <v>Karasta Bayanaka Rasmawan</v>
          </cell>
          <cell r="E260" t="str">
            <v>3C</v>
          </cell>
        </row>
        <row r="261">
          <cell r="C261">
            <v>2280</v>
          </cell>
          <cell r="D261" t="str">
            <v>Keillona Gusta Azkadina</v>
          </cell>
          <cell r="E261" t="str">
            <v>3C</v>
          </cell>
        </row>
        <row r="262">
          <cell r="C262">
            <v>2281</v>
          </cell>
          <cell r="D262" t="str">
            <v>Kenzie Akil Yonisa Putra</v>
          </cell>
          <cell r="E262" t="str">
            <v>3C</v>
          </cell>
        </row>
        <row r="263">
          <cell r="C263">
            <v>2285</v>
          </cell>
          <cell r="D263" t="str">
            <v>Mhd. Salman Nasution</v>
          </cell>
          <cell r="E263" t="str">
            <v>3C</v>
          </cell>
        </row>
        <row r="264">
          <cell r="C264">
            <v>2294</v>
          </cell>
          <cell r="D264" t="str">
            <v>Muhammad Arsya Al Faheem</v>
          </cell>
          <cell r="E264" t="str">
            <v>3C</v>
          </cell>
        </row>
        <row r="265">
          <cell r="C265">
            <v>2295</v>
          </cell>
          <cell r="D265" t="str">
            <v>Muhammad El Azfer Dzakiandra Siwi</v>
          </cell>
          <cell r="E265" t="str">
            <v>3C</v>
          </cell>
        </row>
        <row r="266">
          <cell r="C266">
            <v>2300</v>
          </cell>
          <cell r="D266" t="str">
            <v>Nayla Aurellia Aznii</v>
          </cell>
          <cell r="E266" t="str">
            <v>3C</v>
          </cell>
        </row>
        <row r="267">
          <cell r="C267">
            <v>2310</v>
          </cell>
          <cell r="D267" t="str">
            <v>Satrio Alifiandra Putra Sugiharto</v>
          </cell>
          <cell r="E267" t="str">
            <v>3C</v>
          </cell>
        </row>
        <row r="268">
          <cell r="C268">
            <v>2315</v>
          </cell>
          <cell r="D268" t="str">
            <v>Shaqueena Rifsha</v>
          </cell>
          <cell r="E268" t="str">
            <v>3C</v>
          </cell>
        </row>
        <row r="269">
          <cell r="C269">
            <v>2323</v>
          </cell>
          <cell r="D269" t="str">
            <v>Srengenge Rojogeni Abdhi Pengeran</v>
          </cell>
          <cell r="E269" t="str">
            <v>3C</v>
          </cell>
        </row>
        <row r="270">
          <cell r="C270">
            <v>2318</v>
          </cell>
          <cell r="D270" t="str">
            <v>Vallencya Al'xaviere Zummylianti</v>
          </cell>
          <cell r="E270" t="str">
            <v>3C</v>
          </cell>
        </row>
        <row r="271">
          <cell r="C271">
            <v>2319</v>
          </cell>
          <cell r="D271" t="str">
            <v>Zenaiddin Didan Sanjaya</v>
          </cell>
          <cell r="E271" t="str">
            <v>3C</v>
          </cell>
        </row>
        <row r="272">
          <cell r="C272">
            <v>2321</v>
          </cell>
          <cell r="D272" t="str">
            <v>Zuhdan Noer Hakeem</v>
          </cell>
          <cell r="E272" t="str">
            <v>3C</v>
          </cell>
        </row>
        <row r="273">
          <cell r="C273">
            <v>2134</v>
          </cell>
          <cell r="D273" t="str">
            <v>Abdullah Ukasyah Al Fawwaz</v>
          </cell>
          <cell r="E273" t="str">
            <v>4A</v>
          </cell>
        </row>
        <row r="274">
          <cell r="C274">
            <v>2135</v>
          </cell>
          <cell r="D274" t="str">
            <v>Abiyoga Damario</v>
          </cell>
          <cell r="E274" t="str">
            <v>4A</v>
          </cell>
        </row>
        <row r="275">
          <cell r="C275">
            <v>2137</v>
          </cell>
          <cell r="D275" t="str">
            <v>Adreena Naira Tanjung</v>
          </cell>
          <cell r="E275" t="str">
            <v>4A</v>
          </cell>
        </row>
        <row r="276">
          <cell r="C276">
            <v>2143</v>
          </cell>
          <cell r="D276" t="str">
            <v>Al' Rhasya Ramadhany A.M.</v>
          </cell>
          <cell r="E276" t="str">
            <v>4A</v>
          </cell>
        </row>
        <row r="277">
          <cell r="C277">
            <v>2140</v>
          </cell>
          <cell r="D277" t="str">
            <v>Alesha Dzahin Asrori</v>
          </cell>
          <cell r="E277" t="str">
            <v>4A</v>
          </cell>
        </row>
        <row r="278">
          <cell r="C278">
            <v>2139</v>
          </cell>
          <cell r="D278" t="str">
            <v>Ahmad Zhafran Ar-Rasyid</v>
          </cell>
          <cell r="E278" t="str">
            <v>4A</v>
          </cell>
        </row>
        <row r="279">
          <cell r="C279">
            <v>2146</v>
          </cell>
          <cell r="D279" t="str">
            <v>Amira Hannah Nashruddin</v>
          </cell>
          <cell r="E279" t="str">
            <v>4A</v>
          </cell>
        </row>
        <row r="280">
          <cell r="C280">
            <v>2147</v>
          </cell>
          <cell r="D280" t="str">
            <v>Anindita Keisha Rahmawati</v>
          </cell>
          <cell r="E280" t="str">
            <v>4A</v>
          </cell>
        </row>
        <row r="281">
          <cell r="C281">
            <v>2149</v>
          </cell>
          <cell r="D281" t="str">
            <v>Arsakha Virendra Setiawan</v>
          </cell>
          <cell r="E281" t="str">
            <v>4A</v>
          </cell>
        </row>
        <row r="282">
          <cell r="C282">
            <v>2156</v>
          </cell>
          <cell r="D282" t="str">
            <v>Azharull Azmi Hermawan</v>
          </cell>
          <cell r="E282" t="str">
            <v>4A</v>
          </cell>
        </row>
        <row r="283">
          <cell r="C283">
            <v>2157</v>
          </cell>
          <cell r="D283" t="str">
            <v>Azmya Elshanum Putri Viansya</v>
          </cell>
          <cell r="E283" t="str">
            <v>4A</v>
          </cell>
        </row>
        <row r="284">
          <cell r="C284">
            <v>2164</v>
          </cell>
          <cell r="D284" t="str">
            <v>Dianysha Fitra Azzahra</v>
          </cell>
          <cell r="E284" t="str">
            <v>4A</v>
          </cell>
        </row>
        <row r="285">
          <cell r="C285">
            <v>2168</v>
          </cell>
          <cell r="D285" t="str">
            <v>Fariz Mumtaz Husein</v>
          </cell>
          <cell r="E285" t="str">
            <v>4A</v>
          </cell>
        </row>
        <row r="286">
          <cell r="C286">
            <v>2172</v>
          </cell>
          <cell r="D286" t="str">
            <v>Hasbi Al Fuadi</v>
          </cell>
          <cell r="E286" t="str">
            <v>4A</v>
          </cell>
        </row>
        <row r="287">
          <cell r="C287">
            <v>2174</v>
          </cell>
          <cell r="D287" t="str">
            <v>Iftina Azzakia Rohman</v>
          </cell>
          <cell r="E287" t="str">
            <v>4A</v>
          </cell>
        </row>
        <row r="288">
          <cell r="C288">
            <v>2175</v>
          </cell>
          <cell r="D288" t="str">
            <v xml:space="preserve">Kalila Oktsaila Putri </v>
          </cell>
          <cell r="E288" t="str">
            <v>4A</v>
          </cell>
        </row>
        <row r="289">
          <cell r="C289">
            <v>2176</v>
          </cell>
          <cell r="D289" t="str">
            <v>Kanaya Citra Putri Alesha</v>
          </cell>
          <cell r="E289" t="str">
            <v>4A</v>
          </cell>
        </row>
        <row r="290">
          <cell r="C290">
            <v>2187</v>
          </cell>
          <cell r="D290" t="str">
            <v>Muhammad Arsenio Mahardika</v>
          </cell>
          <cell r="E290" t="str">
            <v>4A</v>
          </cell>
        </row>
        <row r="291">
          <cell r="C291">
            <v>2191</v>
          </cell>
          <cell r="D291" t="str">
            <v>Muhammad Kevlar Putra Liandra</v>
          </cell>
          <cell r="E291" t="str">
            <v>4A</v>
          </cell>
        </row>
        <row r="292">
          <cell r="C292">
            <v>2192</v>
          </cell>
          <cell r="D292" t="str">
            <v>Muhammad Raffasya Maqil</v>
          </cell>
          <cell r="E292" t="str">
            <v>4A</v>
          </cell>
        </row>
        <row r="293">
          <cell r="C293">
            <v>2194</v>
          </cell>
          <cell r="D293" t="str">
            <v>Muhammad Rizki Alfaro</v>
          </cell>
          <cell r="E293" t="str">
            <v>4A</v>
          </cell>
        </row>
        <row r="294">
          <cell r="C294">
            <v>2197</v>
          </cell>
          <cell r="D294" t="str">
            <v>Nazma Ayla Sakhi</v>
          </cell>
          <cell r="E294" t="str">
            <v>4A</v>
          </cell>
        </row>
        <row r="295">
          <cell r="C295">
            <v>2322</v>
          </cell>
          <cell r="D295" t="str">
            <v xml:space="preserve">Nur Rofiah </v>
          </cell>
          <cell r="E295" t="str">
            <v>4A</v>
          </cell>
        </row>
        <row r="296">
          <cell r="C296">
            <v>2201</v>
          </cell>
          <cell r="D296" t="str">
            <v>Prabu Atalah Achmad</v>
          </cell>
          <cell r="E296" t="str">
            <v>4A</v>
          </cell>
        </row>
        <row r="297">
          <cell r="C297">
            <v>2202</v>
          </cell>
          <cell r="D297" t="str">
            <v>Rabbani Pramudya Athmar</v>
          </cell>
          <cell r="E297" t="str">
            <v>4A</v>
          </cell>
        </row>
        <row r="298">
          <cell r="C298">
            <v>2209</v>
          </cell>
          <cell r="D298" t="str">
            <v>Rayner Akbar Nabel</v>
          </cell>
          <cell r="E298" t="str">
            <v>4A</v>
          </cell>
        </row>
        <row r="299">
          <cell r="C299">
            <v>2210</v>
          </cell>
          <cell r="D299" t="str">
            <v>Reyvano Ayrton Damarjati</v>
          </cell>
          <cell r="E299" t="str">
            <v>4A</v>
          </cell>
        </row>
        <row r="300">
          <cell r="C300">
            <v>2213</v>
          </cell>
          <cell r="D300" t="str">
            <v>Safiyah Salsabila Zaskiaqilah Aristyawan</v>
          </cell>
          <cell r="E300" t="str">
            <v>4A</v>
          </cell>
        </row>
        <row r="301">
          <cell r="C301">
            <v>2216</v>
          </cell>
          <cell r="D301" t="str">
            <v>Shann Danendra Arjunadi Pakaya</v>
          </cell>
          <cell r="E301" t="str">
            <v>4A</v>
          </cell>
        </row>
        <row r="302">
          <cell r="C302">
            <v>2136</v>
          </cell>
          <cell r="D302" t="str">
            <v>Achmad Arshaka Pradipta</v>
          </cell>
          <cell r="E302" t="str">
            <v>4B</v>
          </cell>
        </row>
        <row r="303">
          <cell r="C303">
            <v>2138</v>
          </cell>
          <cell r="D303" t="str">
            <v>Adreena Farisa Wulandari</v>
          </cell>
          <cell r="E303" t="str">
            <v>4B</v>
          </cell>
        </row>
        <row r="304">
          <cell r="C304">
            <v>2141</v>
          </cell>
          <cell r="D304" t="str">
            <v>Alifiyan Raadhiika Zafran Mulyanto</v>
          </cell>
          <cell r="E304" t="str">
            <v>4B</v>
          </cell>
        </row>
        <row r="305">
          <cell r="C305">
            <v>2150</v>
          </cell>
          <cell r="D305" t="str">
            <v>Arkha Abyan Alfarizi Yuandi</v>
          </cell>
          <cell r="E305" t="str">
            <v>4B</v>
          </cell>
        </row>
        <row r="306">
          <cell r="C306">
            <v>2151</v>
          </cell>
          <cell r="D306" t="str">
            <v>Arshana Elvanno Chandra</v>
          </cell>
          <cell r="E306" t="str">
            <v>4B</v>
          </cell>
        </row>
        <row r="307">
          <cell r="C307">
            <v>2154</v>
          </cell>
          <cell r="D307" t="str">
            <v>Ashylla Fateen Almahyra</v>
          </cell>
          <cell r="E307" t="str">
            <v>4B</v>
          </cell>
        </row>
        <row r="308">
          <cell r="C308">
            <v>2155</v>
          </cell>
          <cell r="D308" t="str">
            <v>Attan Kenzie Balishaki</v>
          </cell>
          <cell r="E308" t="str">
            <v>4B</v>
          </cell>
        </row>
        <row r="309">
          <cell r="C309">
            <v>2159</v>
          </cell>
          <cell r="D309" t="str">
            <v>Azqiara Zaafarani Achmad</v>
          </cell>
          <cell r="E309" t="str">
            <v>4B</v>
          </cell>
        </row>
        <row r="310">
          <cell r="C310">
            <v>2162</v>
          </cell>
          <cell r="D310" t="str">
            <v>Cherilyn Queenaya Kinandari</v>
          </cell>
          <cell r="E310" t="str">
            <v>4B</v>
          </cell>
        </row>
        <row r="311">
          <cell r="C311">
            <v>2163</v>
          </cell>
          <cell r="D311" t="str">
            <v>Dhia Awang Syathir</v>
          </cell>
          <cell r="E311" t="str">
            <v>4B</v>
          </cell>
        </row>
        <row r="312">
          <cell r="C312">
            <v>2165</v>
          </cell>
          <cell r="D312" t="str">
            <v>Elshanum Zhafirah Althaf</v>
          </cell>
          <cell r="E312" t="str">
            <v>4B</v>
          </cell>
        </row>
        <row r="313">
          <cell r="C313">
            <v>2166</v>
          </cell>
          <cell r="D313" t="str">
            <v>Fadzrin Ali Syabana A.</v>
          </cell>
          <cell r="E313" t="str">
            <v>4B</v>
          </cell>
        </row>
        <row r="314">
          <cell r="C314">
            <v>2171</v>
          </cell>
          <cell r="D314" t="str">
            <v>Hanum Ayudia Inara</v>
          </cell>
          <cell r="E314" t="str">
            <v>4B</v>
          </cell>
        </row>
        <row r="315">
          <cell r="C315">
            <v>2173</v>
          </cell>
          <cell r="D315" t="str">
            <v>Haura Shaki Nurdiansyah</v>
          </cell>
          <cell r="E315" t="str">
            <v>4B</v>
          </cell>
        </row>
        <row r="316">
          <cell r="C316">
            <v>2177</v>
          </cell>
          <cell r="D316" t="str">
            <v>Khairunnisa Almaira Nur Zhada</v>
          </cell>
          <cell r="E316" t="str">
            <v>4B</v>
          </cell>
        </row>
        <row r="317">
          <cell r="C317">
            <v>2368</v>
          </cell>
          <cell r="D317" t="str">
            <v>Khaisyar Muhammad Arfan</v>
          </cell>
          <cell r="E317" t="str">
            <v>4B</v>
          </cell>
        </row>
        <row r="318">
          <cell r="C318">
            <v>2179</v>
          </cell>
          <cell r="D318" t="str">
            <v>Letishia Nada Pradhana</v>
          </cell>
          <cell r="E318" t="str">
            <v>4B</v>
          </cell>
        </row>
        <row r="319">
          <cell r="C319">
            <v>2182</v>
          </cell>
          <cell r="D319" t="str">
            <v>Mikhayla Valerie Putri Huri</v>
          </cell>
          <cell r="E319" t="str">
            <v>4B</v>
          </cell>
        </row>
        <row r="320">
          <cell r="C320">
            <v>2188</v>
          </cell>
          <cell r="D320" t="str">
            <v>Muhammad Askhabul Kahfi</v>
          </cell>
          <cell r="E320" t="str">
            <v>4B</v>
          </cell>
        </row>
        <row r="321">
          <cell r="C321">
            <v>2189</v>
          </cell>
          <cell r="D321" t="str">
            <v>Muhammad Davano</v>
          </cell>
          <cell r="E321" t="str">
            <v>4B</v>
          </cell>
        </row>
        <row r="322">
          <cell r="C322">
            <v>2196</v>
          </cell>
          <cell r="D322" t="str">
            <v>Nafeeza Usha Qirani</v>
          </cell>
          <cell r="E322" t="str">
            <v>4B</v>
          </cell>
        </row>
        <row r="323">
          <cell r="C323">
            <v>2198</v>
          </cell>
          <cell r="D323" t="str">
            <v>Nevan Alfaiq Balin</v>
          </cell>
          <cell r="E323" t="str">
            <v>4B</v>
          </cell>
        </row>
        <row r="324">
          <cell r="C324">
            <v>2206</v>
          </cell>
          <cell r="D324" t="str">
            <v>Raka Ega Ganendra Iskandar</v>
          </cell>
          <cell r="E324" t="str">
            <v>4B</v>
          </cell>
        </row>
        <row r="325">
          <cell r="C325">
            <v>2207</v>
          </cell>
          <cell r="D325" t="str">
            <v>Raline Suardita Arsyila</v>
          </cell>
          <cell r="E325" t="str">
            <v>4B</v>
          </cell>
        </row>
        <row r="326">
          <cell r="C326">
            <v>2208</v>
          </cell>
          <cell r="D326" t="str">
            <v>Rasya Ahmad Azzamy</v>
          </cell>
          <cell r="E326" t="str">
            <v>4B</v>
          </cell>
        </row>
        <row r="327">
          <cell r="C327">
            <v>2215</v>
          </cell>
          <cell r="D327" t="str">
            <v>Salwa Arinah Chandra Idrus</v>
          </cell>
          <cell r="E327" t="str">
            <v>4B</v>
          </cell>
        </row>
        <row r="328">
          <cell r="C328">
            <v>2217</v>
          </cell>
          <cell r="D328" t="str">
            <v>Shakila Gavaputri Pratama</v>
          </cell>
          <cell r="E328" t="str">
            <v>4B</v>
          </cell>
        </row>
        <row r="329">
          <cell r="C329">
            <v>2220</v>
          </cell>
          <cell r="D329" t="str">
            <v>Thoddy Ahmad Yusuf Whiranatha</v>
          </cell>
          <cell r="E329" t="str">
            <v>4B</v>
          </cell>
        </row>
        <row r="330">
          <cell r="C330">
            <v>2223</v>
          </cell>
          <cell r="D330" t="str">
            <v>Vladimir Latif Al Amin</v>
          </cell>
          <cell r="E330" t="str">
            <v>4B</v>
          </cell>
        </row>
        <row r="331">
          <cell r="C331">
            <v>2142</v>
          </cell>
          <cell r="D331" t="str">
            <v>Almeira Deandra Latisha Zafarani</v>
          </cell>
          <cell r="E331" t="str">
            <v>4C</v>
          </cell>
        </row>
        <row r="332">
          <cell r="C332">
            <v>2144</v>
          </cell>
          <cell r="D332" t="str">
            <v>Alrafaeyza Putra Arman</v>
          </cell>
          <cell r="E332" t="str">
            <v>4C</v>
          </cell>
        </row>
        <row r="333">
          <cell r="C333">
            <v>2145</v>
          </cell>
          <cell r="D333" t="str">
            <v>Althaf Ghozali Jalalillutfi</v>
          </cell>
          <cell r="E333" t="str">
            <v>4C</v>
          </cell>
        </row>
        <row r="334">
          <cell r="C334">
            <v>2148</v>
          </cell>
          <cell r="D334" t="str">
            <v>Anggi Eliana Sanjaya</v>
          </cell>
          <cell r="E334" t="str">
            <v>4C</v>
          </cell>
        </row>
        <row r="335">
          <cell r="C335">
            <v>2152</v>
          </cell>
          <cell r="D335" t="str">
            <v>Arsyad Azfar Rabbani</v>
          </cell>
          <cell r="E335" t="str">
            <v>4C</v>
          </cell>
        </row>
        <row r="336">
          <cell r="C336">
            <v>2153</v>
          </cell>
          <cell r="D336" t="str">
            <v>Arya Bima Ramadhan</v>
          </cell>
          <cell r="E336" t="str">
            <v>4C</v>
          </cell>
        </row>
        <row r="337">
          <cell r="C337">
            <v>2158</v>
          </cell>
          <cell r="D337" t="str">
            <v>Azka Putra Bhatara Wibisono</v>
          </cell>
          <cell r="E337" t="str">
            <v>4C</v>
          </cell>
        </row>
        <row r="338">
          <cell r="C338">
            <v>2160</v>
          </cell>
          <cell r="D338" t="str">
            <v>Baefatha Oziel Artanabil</v>
          </cell>
          <cell r="E338" t="str">
            <v>4C</v>
          </cell>
        </row>
        <row r="339">
          <cell r="C339">
            <v>2161</v>
          </cell>
          <cell r="D339" t="str">
            <v>Celine Tatyana Wibowo</v>
          </cell>
          <cell r="E339" t="str">
            <v>4C</v>
          </cell>
        </row>
        <row r="340">
          <cell r="C340">
            <v>2167</v>
          </cell>
          <cell r="D340" t="str">
            <v>Faleisha Shezan Kinanti</v>
          </cell>
          <cell r="E340" t="str">
            <v>4C</v>
          </cell>
        </row>
        <row r="341">
          <cell r="C341">
            <v>2169</v>
          </cell>
          <cell r="D341" t="str">
            <v>Fathara Nur Al Farizi</v>
          </cell>
          <cell r="E341" t="str">
            <v>4C</v>
          </cell>
        </row>
        <row r="342">
          <cell r="C342">
            <v>2170</v>
          </cell>
          <cell r="D342" t="str">
            <v>Hegira Jyotika Ihsani</v>
          </cell>
          <cell r="E342" t="str">
            <v>4C</v>
          </cell>
        </row>
        <row r="343">
          <cell r="C343">
            <v>2180</v>
          </cell>
          <cell r="D343" t="str">
            <v>Mecca Dazlin Darsono</v>
          </cell>
          <cell r="E343" t="str">
            <v>4C</v>
          </cell>
        </row>
        <row r="344">
          <cell r="C344">
            <v>2181</v>
          </cell>
          <cell r="D344" t="str">
            <v>Meyla Kanaya Ardelia</v>
          </cell>
          <cell r="E344" t="str">
            <v>4C</v>
          </cell>
        </row>
        <row r="345">
          <cell r="C345">
            <v>2183</v>
          </cell>
          <cell r="D345" t="str">
            <v>Mikayla Qaireen  Alnaira</v>
          </cell>
          <cell r="E345" t="str">
            <v>4C</v>
          </cell>
        </row>
        <row r="346">
          <cell r="C346">
            <v>2184</v>
          </cell>
          <cell r="D346" t="str">
            <v xml:space="preserve">Moh. Alif Zakaria Suhardi </v>
          </cell>
          <cell r="E346" t="str">
            <v>4C</v>
          </cell>
        </row>
        <row r="347">
          <cell r="C347">
            <v>2185</v>
          </cell>
          <cell r="D347" t="str">
            <v>Moh. Athar Rabbani</v>
          </cell>
          <cell r="E347" t="str">
            <v>4C</v>
          </cell>
        </row>
        <row r="348">
          <cell r="C348">
            <v>2186</v>
          </cell>
          <cell r="D348" t="str">
            <v>Muhammad Afzam Rafka Farzani Praharjo</v>
          </cell>
          <cell r="E348" t="str">
            <v>4C</v>
          </cell>
        </row>
        <row r="349">
          <cell r="C349">
            <v>2190</v>
          </cell>
          <cell r="D349" t="str">
            <v>Muzammil Hasbullah Rachman</v>
          </cell>
          <cell r="E349" t="str">
            <v>4C</v>
          </cell>
        </row>
        <row r="350">
          <cell r="C350">
            <v>2199</v>
          </cell>
          <cell r="D350" t="str">
            <v>Nolan Rostam Abdullah</v>
          </cell>
          <cell r="E350" t="str">
            <v>4C</v>
          </cell>
        </row>
        <row r="351">
          <cell r="C351">
            <v>2203</v>
          </cell>
          <cell r="D351" t="str">
            <v>Rafif Ahmad Adzaky</v>
          </cell>
          <cell r="E351" t="str">
            <v>4C</v>
          </cell>
        </row>
        <row r="352">
          <cell r="C352">
            <v>2204</v>
          </cell>
          <cell r="D352" t="str">
            <v>Rahmadina Dianarati Widyatih</v>
          </cell>
          <cell r="E352" t="str">
            <v>4C</v>
          </cell>
        </row>
        <row r="353">
          <cell r="C353">
            <v>2205</v>
          </cell>
          <cell r="D353" t="str">
            <v>Raisa Shareefa Hafizhah</v>
          </cell>
          <cell r="E353" t="str">
            <v>4C</v>
          </cell>
        </row>
        <row r="354">
          <cell r="C354">
            <v>2211</v>
          </cell>
          <cell r="D354" t="str">
            <v>Reynand Dzaky Arifareza</v>
          </cell>
          <cell r="E354" t="str">
            <v>4C</v>
          </cell>
        </row>
        <row r="355">
          <cell r="C355">
            <v>2212</v>
          </cell>
          <cell r="D355" t="str">
            <v xml:space="preserve">Sabira Husna Almahyra </v>
          </cell>
          <cell r="E355" t="str">
            <v>4C</v>
          </cell>
        </row>
        <row r="356">
          <cell r="C356">
            <v>2214</v>
          </cell>
          <cell r="D356" t="str">
            <v>Sakha Alvaro Firdiansyah</v>
          </cell>
          <cell r="E356" t="str">
            <v>4C</v>
          </cell>
        </row>
        <row r="357">
          <cell r="C357">
            <v>2218</v>
          </cell>
          <cell r="D357" t="str">
            <v>Shanum Husnia Al Azis</v>
          </cell>
          <cell r="E357" t="str">
            <v>4C</v>
          </cell>
        </row>
        <row r="358">
          <cell r="C358">
            <v>2219</v>
          </cell>
          <cell r="D358" t="str">
            <v>Shaqilla Mikhayla Rasya</v>
          </cell>
          <cell r="E358" t="str">
            <v>4C</v>
          </cell>
        </row>
        <row r="359">
          <cell r="C359">
            <v>2221</v>
          </cell>
          <cell r="D359" t="str">
            <v>Tyee Maska Al Rasyid Syaga</v>
          </cell>
          <cell r="E359" t="str">
            <v>4C</v>
          </cell>
        </row>
        <row r="360">
          <cell r="C360">
            <v>2222</v>
          </cell>
          <cell r="D360" t="str">
            <v>Virendra Athafariz Ariwijaya</v>
          </cell>
          <cell r="E360" t="str">
            <v>4C</v>
          </cell>
        </row>
        <row r="361">
          <cell r="C361">
            <v>2034</v>
          </cell>
          <cell r="D361" t="str">
            <v>Abrial Richkey Jeno Aditshan</v>
          </cell>
          <cell r="E361" t="str">
            <v>5A</v>
          </cell>
        </row>
        <row r="362">
          <cell r="C362">
            <v>2035</v>
          </cell>
          <cell r="D362" t="str">
            <v>Achmad Fadhil</v>
          </cell>
          <cell r="E362" t="str">
            <v>5A</v>
          </cell>
        </row>
        <row r="363">
          <cell r="C363">
            <v>2037</v>
          </cell>
          <cell r="D363" t="str">
            <v>Adeeva Oriel Agristian</v>
          </cell>
          <cell r="E363" t="str">
            <v>5A</v>
          </cell>
        </row>
        <row r="364">
          <cell r="C364">
            <v>2039</v>
          </cell>
          <cell r="D364" t="str">
            <v>Agatha Batrisya Shanum</v>
          </cell>
          <cell r="E364" t="str">
            <v>5A</v>
          </cell>
        </row>
        <row r="365">
          <cell r="C365">
            <v>2040</v>
          </cell>
          <cell r="D365" t="str">
            <v>Ahmad Alkhalifi Zikri Hamizan</v>
          </cell>
          <cell r="E365" t="str">
            <v>5A</v>
          </cell>
        </row>
        <row r="366">
          <cell r="C366">
            <v>2044</v>
          </cell>
          <cell r="D366" t="str">
            <v>Ain Nun Lam Alifiya</v>
          </cell>
          <cell r="E366" t="str">
            <v>5A</v>
          </cell>
        </row>
        <row r="367">
          <cell r="C367">
            <v>2045</v>
          </cell>
          <cell r="D367" t="str">
            <v>Airelyn Bellvania Cinta Kirana</v>
          </cell>
          <cell r="E367" t="str">
            <v>5A</v>
          </cell>
        </row>
        <row r="368">
          <cell r="C368">
            <v>2062</v>
          </cell>
          <cell r="D368" t="str">
            <v>Cherryl Azzahra Agung</v>
          </cell>
          <cell r="E368" t="str">
            <v>5A</v>
          </cell>
        </row>
        <row r="369">
          <cell r="C369">
            <v>2063</v>
          </cell>
          <cell r="D369" t="str">
            <v>Daffario Aji Widianto</v>
          </cell>
          <cell r="E369" t="str">
            <v>5A</v>
          </cell>
        </row>
        <row r="370">
          <cell r="C370">
            <v>2064</v>
          </cell>
          <cell r="D370" t="str">
            <v>Daniara Putri Iqsha Lacita</v>
          </cell>
          <cell r="E370" t="str">
            <v>5A</v>
          </cell>
        </row>
        <row r="371">
          <cell r="C371">
            <v>2068</v>
          </cell>
          <cell r="D371" t="str">
            <v>Eka Nurdhiananta</v>
          </cell>
          <cell r="E371" t="str">
            <v>5A</v>
          </cell>
        </row>
        <row r="372">
          <cell r="C372">
            <v>2073</v>
          </cell>
          <cell r="D372" t="str">
            <v>Fayra Azzahidah Rofiqi</v>
          </cell>
          <cell r="E372" t="str">
            <v>5A</v>
          </cell>
        </row>
        <row r="373">
          <cell r="C373">
            <v>2074</v>
          </cell>
          <cell r="D373" t="str">
            <v xml:space="preserve">Ibrahim Malik Al Farizky </v>
          </cell>
          <cell r="E373" t="str">
            <v>5A</v>
          </cell>
        </row>
        <row r="374">
          <cell r="C374">
            <v>2081</v>
          </cell>
          <cell r="D374" t="str">
            <v>Kiandra Rizky Perdana</v>
          </cell>
          <cell r="E374" t="str">
            <v>5A</v>
          </cell>
        </row>
        <row r="375">
          <cell r="C375">
            <v>2082</v>
          </cell>
          <cell r="D375" t="str">
            <v>Kiano Zafran Ariawan</v>
          </cell>
          <cell r="E375" t="str">
            <v>5A</v>
          </cell>
        </row>
        <row r="376">
          <cell r="C376">
            <v>2083</v>
          </cell>
          <cell r="D376" t="str">
            <v>Kiano Zaidan Ariawan</v>
          </cell>
          <cell r="E376" t="str">
            <v>5A</v>
          </cell>
        </row>
        <row r="377">
          <cell r="C377">
            <v>2088</v>
          </cell>
          <cell r="D377" t="str">
            <v>Mirza Sadat Arrafi</v>
          </cell>
          <cell r="E377" t="str">
            <v>5A</v>
          </cell>
        </row>
        <row r="378">
          <cell r="C378">
            <v>2090</v>
          </cell>
          <cell r="D378" t="str">
            <v>Muhammad Alby Abrisam Alfakhri</v>
          </cell>
          <cell r="E378" t="str">
            <v>5A</v>
          </cell>
        </row>
        <row r="379">
          <cell r="C379">
            <v>2093</v>
          </cell>
          <cell r="D379" t="str">
            <v>Muhammad Ayyub Faqih</v>
          </cell>
          <cell r="E379" t="str">
            <v>5A</v>
          </cell>
        </row>
        <row r="380">
          <cell r="C380">
            <v>2098</v>
          </cell>
          <cell r="D380" t="str">
            <v>Muhammad Fattan AlFarizqi</v>
          </cell>
          <cell r="E380" t="str">
            <v>5A</v>
          </cell>
        </row>
        <row r="381">
          <cell r="C381">
            <v>2104</v>
          </cell>
          <cell r="D381" t="str">
            <v>Nizar Nawaf Ali</v>
          </cell>
          <cell r="E381" t="str">
            <v>5A</v>
          </cell>
        </row>
        <row r="382">
          <cell r="C382">
            <v>2105</v>
          </cell>
          <cell r="D382" t="str">
            <v>Prestasia Doctorrizq Herlambang</v>
          </cell>
          <cell r="E382" t="str">
            <v>5A</v>
          </cell>
        </row>
        <row r="383">
          <cell r="C383">
            <v>2106</v>
          </cell>
          <cell r="D383" t="str">
            <v>Radit Putra Prastyo</v>
          </cell>
          <cell r="E383" t="str">
            <v>5A</v>
          </cell>
        </row>
        <row r="384">
          <cell r="C384">
            <v>2107</v>
          </cell>
          <cell r="D384" t="str">
            <v>Rasya Achmad Atallah</v>
          </cell>
          <cell r="E384" t="str">
            <v>5A</v>
          </cell>
        </row>
        <row r="385">
          <cell r="C385">
            <v>2112</v>
          </cell>
          <cell r="D385" t="str">
            <v>Sabrina Saahira Sasikirana</v>
          </cell>
          <cell r="E385" t="str">
            <v>5A</v>
          </cell>
        </row>
        <row r="386">
          <cell r="C386">
            <v>2113</v>
          </cell>
          <cell r="D386" t="str">
            <v>Sekar Anjani Dewanto</v>
          </cell>
          <cell r="E386" t="str">
            <v>5A</v>
          </cell>
        </row>
        <row r="387">
          <cell r="C387">
            <v>2114</v>
          </cell>
          <cell r="D387" t="str">
            <v>Shila Zayyan Putri Subagio</v>
          </cell>
          <cell r="E387" t="str">
            <v>5A</v>
          </cell>
        </row>
        <row r="388">
          <cell r="C388">
            <v>2117</v>
          </cell>
          <cell r="D388" t="str">
            <v>Syafira Khusnia A'bidah</v>
          </cell>
          <cell r="E388" t="str">
            <v>5A</v>
          </cell>
        </row>
        <row r="389">
          <cell r="C389">
            <v>2125</v>
          </cell>
          <cell r="D389" t="str">
            <v>Ayu Puspita Sari</v>
          </cell>
          <cell r="E389" t="str">
            <v>5A</v>
          </cell>
        </row>
        <row r="390">
          <cell r="C390">
            <v>2036</v>
          </cell>
          <cell r="D390" t="str">
            <v>Adam Malik Maullana</v>
          </cell>
          <cell r="E390" t="str">
            <v>5B</v>
          </cell>
        </row>
        <row r="391">
          <cell r="C391">
            <v>2041</v>
          </cell>
          <cell r="D391" t="str">
            <v>Ahmad Azka Azfar Syarafuddin</v>
          </cell>
          <cell r="E391" t="str">
            <v>5B</v>
          </cell>
        </row>
        <row r="392">
          <cell r="C392">
            <v>2043</v>
          </cell>
          <cell r="D392" t="str">
            <v>Ahmad Zafran Annafi</v>
          </cell>
          <cell r="E392" t="str">
            <v>5B</v>
          </cell>
        </row>
        <row r="393">
          <cell r="C393">
            <v>2046</v>
          </cell>
          <cell r="D393" t="str">
            <v>Aisyah Malikah An Nabilah</v>
          </cell>
          <cell r="E393" t="str">
            <v>5B</v>
          </cell>
        </row>
        <row r="394">
          <cell r="C394">
            <v>2047</v>
          </cell>
          <cell r="D394" t="str">
            <v>Akifa Naila</v>
          </cell>
          <cell r="E394" t="str">
            <v>5B</v>
          </cell>
        </row>
        <row r="395">
          <cell r="C395">
            <v>2048</v>
          </cell>
          <cell r="D395" t="str">
            <v>Alesha Zahra</v>
          </cell>
          <cell r="E395" t="str">
            <v>5B</v>
          </cell>
        </row>
        <row r="396">
          <cell r="C396">
            <v>2050</v>
          </cell>
          <cell r="D396" t="str">
            <v>Alifa Fikria Rabbani Ramadhani</v>
          </cell>
          <cell r="E396" t="str">
            <v>5B</v>
          </cell>
        </row>
        <row r="397">
          <cell r="C397">
            <v>2051</v>
          </cell>
          <cell r="D397" t="str">
            <v>Allula Lasira Widiya</v>
          </cell>
          <cell r="E397" t="str">
            <v>5B</v>
          </cell>
        </row>
        <row r="398">
          <cell r="C398">
            <v>2061</v>
          </cell>
          <cell r="D398" t="str">
            <v>Cakra Samudera Kaharudin</v>
          </cell>
          <cell r="E398" t="str">
            <v>5B</v>
          </cell>
        </row>
        <row r="399">
          <cell r="C399">
            <v>2067</v>
          </cell>
          <cell r="D399" t="str">
            <v>Diana Victoria Arief</v>
          </cell>
          <cell r="E399" t="str">
            <v>5B</v>
          </cell>
        </row>
        <row r="400">
          <cell r="C400">
            <v>2069</v>
          </cell>
          <cell r="D400" t="str">
            <v>El Randra Chumairo</v>
          </cell>
          <cell r="E400" t="str">
            <v>5B</v>
          </cell>
        </row>
        <row r="401">
          <cell r="C401">
            <v>2075</v>
          </cell>
          <cell r="D401" t="str">
            <v>Jauzaa Alula Qirani</v>
          </cell>
          <cell r="E401" t="str">
            <v>5B</v>
          </cell>
        </row>
        <row r="402">
          <cell r="C402">
            <v>2076</v>
          </cell>
          <cell r="D402" t="str">
            <v>Kayla Elifina Putri Syah</v>
          </cell>
          <cell r="E402" t="str">
            <v>5B</v>
          </cell>
        </row>
        <row r="403">
          <cell r="C403">
            <v>2084</v>
          </cell>
          <cell r="D403" t="str">
            <v>Kinandaru Fajria Mariyani Putri</v>
          </cell>
          <cell r="E403" t="str">
            <v>5B</v>
          </cell>
        </row>
        <row r="404">
          <cell r="C404">
            <v>2085</v>
          </cell>
          <cell r="D404" t="str">
            <v>Lintang Kinarian Eiliyah Luviantmy</v>
          </cell>
          <cell r="E404" t="str">
            <v>5B</v>
          </cell>
        </row>
        <row r="405">
          <cell r="C405">
            <v>2091</v>
          </cell>
          <cell r="D405" t="str">
            <v>Muhammad Amsyar Al-Rusyd</v>
          </cell>
          <cell r="E405" t="str">
            <v>5B</v>
          </cell>
        </row>
        <row r="406">
          <cell r="C406">
            <v>2094</v>
          </cell>
          <cell r="D406" t="str">
            <v>Muhammad Azfer Falachy</v>
          </cell>
          <cell r="E406" t="str">
            <v>5B</v>
          </cell>
        </row>
        <row r="407">
          <cell r="C407">
            <v>2096</v>
          </cell>
          <cell r="D407" t="str">
            <v>Muhammad Fakhri Ramadhan Saputra</v>
          </cell>
          <cell r="E407" t="str">
            <v>5B</v>
          </cell>
        </row>
        <row r="408">
          <cell r="C408">
            <v>2097</v>
          </cell>
          <cell r="D408" t="str">
            <v>Muhammad Fatih Mahardika</v>
          </cell>
          <cell r="E408" t="str">
            <v>5B</v>
          </cell>
        </row>
        <row r="409">
          <cell r="C409">
            <v>2099</v>
          </cell>
          <cell r="D409" t="str">
            <v>Muhammad Fauzi Syah Putra Ilafi</v>
          </cell>
          <cell r="E409" t="str">
            <v>5B</v>
          </cell>
        </row>
        <row r="410">
          <cell r="C410">
            <v>2108</v>
          </cell>
          <cell r="D410" t="str">
            <v>Revalina Aulia Rasyafa</v>
          </cell>
          <cell r="E410" t="str">
            <v>5B</v>
          </cell>
        </row>
        <row r="411">
          <cell r="C411">
            <v>2109</v>
          </cell>
          <cell r="D411" t="str">
            <v>Rizky Putra Tirta Wijaya</v>
          </cell>
          <cell r="E411" t="str">
            <v>5B</v>
          </cell>
        </row>
        <row r="412">
          <cell r="C412">
            <v>2110</v>
          </cell>
          <cell r="D412" t="str">
            <v>Roman Al Ghozali Fahrizi</v>
          </cell>
          <cell r="E412" t="str">
            <v>5B</v>
          </cell>
        </row>
        <row r="413">
          <cell r="C413">
            <v>2115</v>
          </cell>
          <cell r="D413" t="str">
            <v>Shofiyya Kusnawati Rizqina Tiara</v>
          </cell>
          <cell r="E413" t="str">
            <v>5B</v>
          </cell>
        </row>
        <row r="414">
          <cell r="C414">
            <v>2118</v>
          </cell>
          <cell r="D414" t="str">
            <v>Syifa Almaira Firdiansyah</v>
          </cell>
          <cell r="E414" t="str">
            <v>5B</v>
          </cell>
        </row>
        <row r="415">
          <cell r="C415">
            <v>2119</v>
          </cell>
          <cell r="D415" t="str">
            <v>Tsabita Almeera Rizqi Delphine</v>
          </cell>
          <cell r="E415" t="str">
            <v>5B</v>
          </cell>
        </row>
        <row r="416">
          <cell r="C416">
            <v>2121</v>
          </cell>
          <cell r="D416" t="str">
            <v>Uwais Al Qorni</v>
          </cell>
          <cell r="E416" t="str">
            <v>5B</v>
          </cell>
        </row>
        <row r="417">
          <cell r="C417">
            <v>2122</v>
          </cell>
          <cell r="D417" t="str">
            <v>Zaidan Syifa Putra Ramadhan</v>
          </cell>
          <cell r="E417" t="str">
            <v>5B</v>
          </cell>
        </row>
        <row r="418">
          <cell r="C418">
            <v>2123</v>
          </cell>
          <cell r="D418" t="str">
            <v>Zievanya Irsyada Hartawan</v>
          </cell>
          <cell r="E418" t="str">
            <v>5B</v>
          </cell>
        </row>
        <row r="419">
          <cell r="C419">
            <v>2038</v>
          </cell>
          <cell r="D419" t="str">
            <v>Adiva Rafanda</v>
          </cell>
          <cell r="E419" t="str">
            <v>5C</v>
          </cell>
        </row>
        <row r="420">
          <cell r="C420">
            <v>2042</v>
          </cell>
          <cell r="D420" t="str">
            <v>Ahmad Khalif Hubaibillah</v>
          </cell>
          <cell r="E420" t="str">
            <v>5C</v>
          </cell>
        </row>
        <row r="421">
          <cell r="C421">
            <v>2049</v>
          </cell>
          <cell r="D421" t="str">
            <v>Alif Randi Putra</v>
          </cell>
          <cell r="E421" t="str">
            <v>5C</v>
          </cell>
        </row>
        <row r="422">
          <cell r="C422">
            <v>2052</v>
          </cell>
          <cell r="D422" t="str">
            <v>Almeeransi Xavier Gwenyver Rysean</v>
          </cell>
          <cell r="E422" t="str">
            <v>5C</v>
          </cell>
        </row>
        <row r="423">
          <cell r="C423">
            <v>2053</v>
          </cell>
          <cell r="D423" t="str">
            <v>Alya Shakila Ramadhani</v>
          </cell>
          <cell r="E423" t="str">
            <v>5C</v>
          </cell>
        </row>
        <row r="424">
          <cell r="C424">
            <v>2055</v>
          </cell>
          <cell r="D424" t="str">
            <v>Andini Arfiana Jasmine</v>
          </cell>
          <cell r="E424" t="str">
            <v>5C</v>
          </cell>
        </row>
        <row r="425">
          <cell r="C425">
            <v>2056</v>
          </cell>
          <cell r="D425" t="str">
            <v>Anggraini Putri Kumalasari</v>
          </cell>
          <cell r="E425" t="str">
            <v>5C</v>
          </cell>
        </row>
        <row r="426">
          <cell r="C426">
            <v>2057</v>
          </cell>
          <cell r="D426" t="str">
            <v>Arshaka Virendra Arsyad Annur</v>
          </cell>
          <cell r="E426" t="str">
            <v>5C</v>
          </cell>
        </row>
        <row r="427">
          <cell r="C427">
            <v>2058</v>
          </cell>
          <cell r="D427" t="str">
            <v>Aysilla Feylqulaybah Sanjaya</v>
          </cell>
          <cell r="E427" t="str">
            <v>5C</v>
          </cell>
        </row>
        <row r="428">
          <cell r="C428">
            <v>2059</v>
          </cell>
          <cell r="D428" t="str">
            <v>Azka Danendra Akbar</v>
          </cell>
          <cell r="E428" t="str">
            <v>5C</v>
          </cell>
        </row>
        <row r="429">
          <cell r="C429">
            <v>2060</v>
          </cell>
          <cell r="D429" t="str">
            <v>Azmira Sakha Rizanna</v>
          </cell>
          <cell r="E429" t="str">
            <v>5C</v>
          </cell>
        </row>
        <row r="430">
          <cell r="C430">
            <v>2066</v>
          </cell>
          <cell r="D430" t="str">
            <v>Darrel Tristan Meshach Augy</v>
          </cell>
          <cell r="E430" t="str">
            <v>5C</v>
          </cell>
        </row>
        <row r="431">
          <cell r="C431">
            <v>2070</v>
          </cell>
          <cell r="D431" t="str">
            <v>Elmire Rasyuqa Prasojo</v>
          </cell>
          <cell r="E431" t="str">
            <v>5C</v>
          </cell>
        </row>
        <row r="432">
          <cell r="C432">
            <v>2071</v>
          </cell>
          <cell r="D432" t="str">
            <v>Elvina Zahrani Aura Kalya</v>
          </cell>
          <cell r="E432" t="str">
            <v>5C</v>
          </cell>
        </row>
        <row r="433">
          <cell r="C433">
            <v>2072</v>
          </cell>
          <cell r="D433" t="str">
            <v>Faqih Aydin Karim</v>
          </cell>
          <cell r="E433" t="str">
            <v>5C</v>
          </cell>
        </row>
        <row r="434">
          <cell r="C434">
            <v>2077</v>
          </cell>
          <cell r="D434" t="str">
            <v>Kenzo Aldrich Kasyafano Rujito</v>
          </cell>
          <cell r="E434" t="str">
            <v>5C</v>
          </cell>
        </row>
        <row r="435">
          <cell r="C435">
            <v>2078</v>
          </cell>
          <cell r="D435" t="str">
            <v>Khalifano Ammar Mahsit</v>
          </cell>
          <cell r="E435" t="str">
            <v>5C</v>
          </cell>
        </row>
        <row r="436">
          <cell r="C436">
            <v>2086</v>
          </cell>
          <cell r="D436" t="str">
            <v>Marcellina Nabila Ulfa</v>
          </cell>
          <cell r="E436" t="str">
            <v>5C</v>
          </cell>
        </row>
        <row r="437">
          <cell r="C437">
            <v>2087</v>
          </cell>
          <cell r="D437" t="str">
            <v>Mirza Kaleandra Arta Ahza</v>
          </cell>
          <cell r="E437" t="str">
            <v>5C</v>
          </cell>
        </row>
        <row r="438">
          <cell r="C438">
            <v>2089</v>
          </cell>
          <cell r="D438" t="str">
            <v>Muhammad Abidzar Affandi</v>
          </cell>
          <cell r="E438" t="str">
            <v>5C</v>
          </cell>
        </row>
        <row r="439">
          <cell r="C439">
            <v>2092</v>
          </cell>
          <cell r="D439" t="str">
            <v>Muhammad Arya Bima Nata Hebat</v>
          </cell>
          <cell r="E439" t="str">
            <v>5C</v>
          </cell>
        </row>
        <row r="440">
          <cell r="C440">
            <v>2101</v>
          </cell>
          <cell r="D440" t="str">
            <v>Muhammad Sultan Roziqin Atmaja Putra</v>
          </cell>
          <cell r="E440" t="str">
            <v>5C</v>
          </cell>
        </row>
        <row r="441">
          <cell r="C441">
            <v>2103</v>
          </cell>
          <cell r="D441" t="str">
            <v>Narendra Gusti Whira Manggala</v>
          </cell>
          <cell r="E441" t="str">
            <v>5C</v>
          </cell>
        </row>
        <row r="442">
          <cell r="C442">
            <v>2111</v>
          </cell>
          <cell r="D442" t="str">
            <v>RR. Noories Ayu Shofiyah</v>
          </cell>
          <cell r="E442" t="str">
            <v>5C</v>
          </cell>
        </row>
        <row r="443">
          <cell r="C443">
            <v>2120</v>
          </cell>
          <cell r="D443" t="str">
            <v>Tsabita Quinna Lam Aruna</v>
          </cell>
          <cell r="E443" t="str">
            <v>5C</v>
          </cell>
        </row>
        <row r="444">
          <cell r="C444">
            <v>1961</v>
          </cell>
          <cell r="D444" t="str">
            <v>Ahsabur Ramdhan Al fatih</v>
          </cell>
          <cell r="E444" t="str">
            <v>6A</v>
          </cell>
        </row>
        <row r="445">
          <cell r="C445">
            <v>1968</v>
          </cell>
          <cell r="D445" t="str">
            <v>Akhtar Raffasya Al-Hanief</v>
          </cell>
          <cell r="E445" t="str">
            <v>6A</v>
          </cell>
        </row>
        <row r="446">
          <cell r="C446">
            <v>1986</v>
          </cell>
          <cell r="D446" t="str">
            <v>Danendra Reyhan Cahya Satria</v>
          </cell>
          <cell r="E446" t="str">
            <v>6A</v>
          </cell>
        </row>
        <row r="447">
          <cell r="C447">
            <v>1992</v>
          </cell>
          <cell r="D447" t="str">
            <v>Ganendra Arya Abiyasa</v>
          </cell>
          <cell r="E447" t="str">
            <v>6A</v>
          </cell>
        </row>
        <row r="448">
          <cell r="C448">
            <v>1993</v>
          </cell>
          <cell r="D448" t="str">
            <v>Hafiz Al Ghazali Purnomo</v>
          </cell>
          <cell r="E448" t="str">
            <v>6A</v>
          </cell>
        </row>
        <row r="449">
          <cell r="C449">
            <v>1994</v>
          </cell>
          <cell r="D449" t="str">
            <v>Humaira Raisa Zahra</v>
          </cell>
          <cell r="E449" t="str">
            <v>6A</v>
          </cell>
        </row>
        <row r="450">
          <cell r="C450">
            <v>1995</v>
          </cell>
          <cell r="D450" t="str">
            <v>Imtiaz Faschinan Ahmad</v>
          </cell>
          <cell r="E450" t="str">
            <v>6A</v>
          </cell>
        </row>
        <row r="451">
          <cell r="C451">
            <v>1996</v>
          </cell>
          <cell r="D451" t="str">
            <v>Inayarafa Lutfhiyah Billah</v>
          </cell>
          <cell r="E451" t="str">
            <v>6A</v>
          </cell>
        </row>
        <row r="452">
          <cell r="C452">
            <v>1998</v>
          </cell>
          <cell r="D452" t="str">
            <v>Jihan Hayfa Farzana</v>
          </cell>
          <cell r="E452" t="str">
            <v>6A</v>
          </cell>
        </row>
        <row r="453">
          <cell r="C453">
            <v>1999</v>
          </cell>
          <cell r="D453" t="str">
            <v>Kanaya Aisyah Putri</v>
          </cell>
          <cell r="E453" t="str">
            <v>6A</v>
          </cell>
        </row>
        <row r="454">
          <cell r="C454">
            <v>2005</v>
          </cell>
          <cell r="D454" t="str">
            <v>Maulana Fardhan Al-Kahfi Putra Kurniawan</v>
          </cell>
          <cell r="E454" t="str">
            <v>6A</v>
          </cell>
        </row>
        <row r="455">
          <cell r="C455">
            <v>2006</v>
          </cell>
          <cell r="D455" t="str">
            <v>Mikayla Miftahul Mumtazah</v>
          </cell>
          <cell r="E455" t="str">
            <v>6A</v>
          </cell>
        </row>
        <row r="456">
          <cell r="C456">
            <v>2124</v>
          </cell>
          <cell r="D456" t="str">
            <v xml:space="preserve">Moh. Haqul Ulum </v>
          </cell>
          <cell r="E456" t="str">
            <v>6A</v>
          </cell>
        </row>
        <row r="457">
          <cell r="C457">
            <v>2008</v>
          </cell>
          <cell r="D457" t="str">
            <v>Muhammad Abidzar Alfarizi</v>
          </cell>
          <cell r="E457" t="str">
            <v>6A</v>
          </cell>
        </row>
        <row r="458">
          <cell r="C458">
            <v>2009</v>
          </cell>
          <cell r="D458" t="str">
            <v>Muhammad Alfan Falah</v>
          </cell>
          <cell r="E458" t="str">
            <v>6A</v>
          </cell>
        </row>
        <row r="459">
          <cell r="C459">
            <v>2017</v>
          </cell>
          <cell r="D459" t="str">
            <v>Nadya Azzahra Adzka Irawan</v>
          </cell>
          <cell r="E459" t="str">
            <v>6A</v>
          </cell>
        </row>
        <row r="460">
          <cell r="C460">
            <v>2022</v>
          </cell>
          <cell r="D460" t="str">
            <v>Quenzino Zaidan Argani</v>
          </cell>
          <cell r="E460" t="str">
            <v>6A</v>
          </cell>
        </row>
        <row r="461">
          <cell r="C461">
            <v>2023</v>
          </cell>
          <cell r="D461" t="str">
            <v>Raihana Azzahra Arianto</v>
          </cell>
          <cell r="E461" t="str">
            <v>6A</v>
          </cell>
        </row>
        <row r="462">
          <cell r="C462">
            <v>2024</v>
          </cell>
          <cell r="D462" t="str">
            <v>Raisya Nabilla Athalia Hardianto</v>
          </cell>
          <cell r="E462" t="str">
            <v>6A</v>
          </cell>
        </row>
        <row r="463">
          <cell r="C463">
            <v>2230</v>
          </cell>
          <cell r="D463" t="str">
            <v xml:space="preserve">Keanu Al Jaabal Arief </v>
          </cell>
          <cell r="E463" t="str">
            <v>6A</v>
          </cell>
        </row>
        <row r="464">
          <cell r="C464">
            <v>2227</v>
          </cell>
          <cell r="D464" t="str">
            <v xml:space="preserve">Nadhifa Qanita Azzura </v>
          </cell>
          <cell r="E464" t="str">
            <v>6A</v>
          </cell>
        </row>
        <row r="465">
          <cell r="C465">
            <v>2228</v>
          </cell>
          <cell r="D465" t="str">
            <v xml:space="preserve">Nafeeza Queena Azzahra </v>
          </cell>
          <cell r="E465" t="str">
            <v>6A</v>
          </cell>
        </row>
        <row r="466">
          <cell r="C466">
            <v>2231</v>
          </cell>
          <cell r="D466" t="str">
            <v xml:space="preserve">Rabiah Al-Adawiyah Rizki </v>
          </cell>
          <cell r="E466" t="str">
            <v>6A</v>
          </cell>
        </row>
        <row r="467">
          <cell r="C467">
            <v>1962</v>
          </cell>
          <cell r="D467" t="str">
            <v>Achmad Deviano Al Rasyid</v>
          </cell>
          <cell r="E467" t="str">
            <v>6B</v>
          </cell>
        </row>
        <row r="468">
          <cell r="C468">
            <v>1967</v>
          </cell>
          <cell r="D468" t="str">
            <v>Akbar Aqma Pratama</v>
          </cell>
          <cell r="E468" t="str">
            <v>6B</v>
          </cell>
        </row>
        <row r="469">
          <cell r="C469">
            <v>1969</v>
          </cell>
          <cell r="D469" t="str">
            <v>Alifia Caroline Wibowo</v>
          </cell>
          <cell r="E469" t="str">
            <v>6B</v>
          </cell>
        </row>
        <row r="470">
          <cell r="C470">
            <v>1970</v>
          </cell>
          <cell r="D470" t="str">
            <v>Aliya Salsabila Zain</v>
          </cell>
          <cell r="E470" t="str">
            <v>6B</v>
          </cell>
        </row>
        <row r="471">
          <cell r="C471">
            <v>1971</v>
          </cell>
          <cell r="D471" t="str">
            <v>Aruna Nur Bima Prawira</v>
          </cell>
          <cell r="E471" t="str">
            <v>6B</v>
          </cell>
        </row>
        <row r="472">
          <cell r="C472">
            <v>1974</v>
          </cell>
          <cell r="D472" t="str">
            <v>Aulia Kinasih Tunggadewi</v>
          </cell>
          <cell r="E472" t="str">
            <v>6B</v>
          </cell>
        </row>
        <row r="473">
          <cell r="C473">
            <v>1975</v>
          </cell>
          <cell r="D473" t="str">
            <v>Azzam Ghaisan Albar</v>
          </cell>
          <cell r="E473" t="str">
            <v>6B</v>
          </cell>
        </row>
        <row r="474">
          <cell r="C474">
            <v>1979</v>
          </cell>
          <cell r="D474" t="str">
            <v>Callysta Bellvania Putri Vidiansah</v>
          </cell>
          <cell r="E474" t="str">
            <v>6B</v>
          </cell>
        </row>
        <row r="475">
          <cell r="C475">
            <v>1983</v>
          </cell>
          <cell r="D475" t="str">
            <v>Daffian Elang Syahputra</v>
          </cell>
          <cell r="E475" t="str">
            <v>6B</v>
          </cell>
        </row>
        <row r="476">
          <cell r="C476">
            <v>1984</v>
          </cell>
          <cell r="D476" t="str">
            <v>Dalisha Nirmala Sandi</v>
          </cell>
          <cell r="E476" t="str">
            <v>6B</v>
          </cell>
        </row>
        <row r="477">
          <cell r="C477">
            <v>1985</v>
          </cell>
          <cell r="D477" t="str">
            <v>Danendra Iqsha Xavier</v>
          </cell>
          <cell r="E477" t="str">
            <v>6B</v>
          </cell>
        </row>
        <row r="478">
          <cell r="C478">
            <v>1988</v>
          </cell>
          <cell r="D478" t="str">
            <v>Elika Sarah Meyriska</v>
          </cell>
          <cell r="E478" t="str">
            <v>6B</v>
          </cell>
        </row>
        <row r="479">
          <cell r="C479">
            <v>1991</v>
          </cell>
          <cell r="D479" t="str">
            <v>Fukayna Mazaya Fachrani Effendi</v>
          </cell>
          <cell r="E479" t="str">
            <v>6B</v>
          </cell>
        </row>
        <row r="480">
          <cell r="C480">
            <v>2011</v>
          </cell>
          <cell r="D480" t="str">
            <v>Muhammad Erza Dhyaulhaq Darminto</v>
          </cell>
          <cell r="E480" t="str">
            <v>6B</v>
          </cell>
        </row>
        <row r="481">
          <cell r="C481">
            <v>2013</v>
          </cell>
          <cell r="D481" t="str">
            <v>Muhammad Zidan Al Farizi</v>
          </cell>
          <cell r="E481" t="str">
            <v>6B</v>
          </cell>
        </row>
        <row r="482">
          <cell r="C482">
            <v>2015</v>
          </cell>
          <cell r="D482" t="str">
            <v>Nabilah Wahyu Safrudin</v>
          </cell>
          <cell r="E482" t="str">
            <v>6B</v>
          </cell>
        </row>
        <row r="483">
          <cell r="C483">
            <v>2019</v>
          </cell>
          <cell r="D483" t="str">
            <v>Naufal Athallah Zahwan</v>
          </cell>
          <cell r="E483" t="str">
            <v>6B</v>
          </cell>
        </row>
        <row r="484">
          <cell r="C484">
            <v>2025</v>
          </cell>
          <cell r="D484" t="str">
            <v>Raja Agung Aryadinata</v>
          </cell>
          <cell r="E484" t="str">
            <v>6B</v>
          </cell>
        </row>
        <row r="485">
          <cell r="C485">
            <v>2026</v>
          </cell>
          <cell r="D485" t="str">
            <v>Rr. Birrlian Kewes Mahesati</v>
          </cell>
          <cell r="E485" t="str">
            <v>6B</v>
          </cell>
        </row>
        <row r="486">
          <cell r="C486">
            <v>2027</v>
          </cell>
          <cell r="D486" t="str">
            <v>Salsabilla Fayola R.</v>
          </cell>
          <cell r="E486" t="str">
            <v>6B</v>
          </cell>
        </row>
        <row r="487">
          <cell r="C487">
            <v>2029</v>
          </cell>
          <cell r="D487" t="str">
            <v>Shattira Qarira Faisal</v>
          </cell>
          <cell r="E487" t="str">
            <v>6B</v>
          </cell>
        </row>
        <row r="488">
          <cell r="C488">
            <v>2031</v>
          </cell>
          <cell r="D488" t="str">
            <v>Unggul Doctorrizq Herlambang</v>
          </cell>
          <cell r="E488" t="str">
            <v>6B</v>
          </cell>
        </row>
        <row r="489">
          <cell r="C489">
            <v>2126</v>
          </cell>
          <cell r="D489" t="str">
            <v xml:space="preserve">Hana Aahitsyah Chika Santoso </v>
          </cell>
          <cell r="E489" t="str">
            <v>6B</v>
          </cell>
        </row>
        <row r="490">
          <cell r="C490">
            <v>2132</v>
          </cell>
          <cell r="D490" t="str">
            <v xml:space="preserve">Zahra Rahmadhani </v>
          </cell>
          <cell r="E490" t="str">
            <v>6B</v>
          </cell>
        </row>
        <row r="491">
          <cell r="C491">
            <v>1963</v>
          </cell>
          <cell r="D491" t="str">
            <v>Adiba Hudaya Azzahra</v>
          </cell>
          <cell r="E491" t="str">
            <v>6C</v>
          </cell>
        </row>
        <row r="492">
          <cell r="C492">
            <v>1964</v>
          </cell>
          <cell r="D492" t="str">
            <v>Ahkam Fi Kalami Al Muharrimiseim</v>
          </cell>
          <cell r="E492" t="str">
            <v>6C</v>
          </cell>
        </row>
        <row r="493">
          <cell r="C493">
            <v>1965</v>
          </cell>
          <cell r="D493" t="str">
            <v xml:space="preserve">Abu Bakr Afif Alfaizin </v>
          </cell>
          <cell r="E493" t="str">
            <v>6C</v>
          </cell>
        </row>
        <row r="494">
          <cell r="C494">
            <v>1966</v>
          </cell>
          <cell r="D494" t="str">
            <v>Aisyah Ayudia Inara Arba</v>
          </cell>
          <cell r="E494" t="str">
            <v>6C</v>
          </cell>
        </row>
        <row r="495">
          <cell r="C495">
            <v>1973</v>
          </cell>
          <cell r="D495" t="str">
            <v>Audri Nuha Zahira</v>
          </cell>
          <cell r="E495" t="str">
            <v>6C</v>
          </cell>
        </row>
        <row r="496">
          <cell r="C496">
            <v>1976</v>
          </cell>
          <cell r="D496" t="str">
            <v>Bagas Kalle Albyzaki Effendy</v>
          </cell>
          <cell r="E496" t="str">
            <v>6C</v>
          </cell>
        </row>
        <row r="497">
          <cell r="C497">
            <v>1978</v>
          </cell>
          <cell r="D497" t="str">
            <v>Bilqis Almirah Trismaharani</v>
          </cell>
          <cell r="E497" t="str">
            <v>6C</v>
          </cell>
        </row>
        <row r="498">
          <cell r="C498">
            <v>1980</v>
          </cell>
          <cell r="D498" t="str">
            <v>Citra Kartika Putri Wijaya</v>
          </cell>
          <cell r="E498" t="str">
            <v>6C</v>
          </cell>
        </row>
        <row r="499">
          <cell r="C499">
            <v>2324</v>
          </cell>
          <cell r="D499" t="str">
            <v xml:space="preserve">Davin Al Barra Rizqi Daniswara </v>
          </cell>
          <cell r="E499" t="str">
            <v>6C</v>
          </cell>
        </row>
        <row r="500">
          <cell r="C500">
            <v>1989</v>
          </cell>
          <cell r="D500" t="str">
            <v>Fayyadh Labib Ullaya Al-Ghazi</v>
          </cell>
          <cell r="E500" t="str">
            <v>6C</v>
          </cell>
        </row>
        <row r="501">
          <cell r="C501">
            <v>1997</v>
          </cell>
          <cell r="D501" t="str">
            <v>Javis Fajrial Adhyastha</v>
          </cell>
          <cell r="E501" t="str">
            <v>6C</v>
          </cell>
        </row>
        <row r="502">
          <cell r="C502">
            <v>2000</v>
          </cell>
          <cell r="D502" t="str">
            <v>Kanisa Hayuning Prameswari</v>
          </cell>
          <cell r="E502" t="str">
            <v>6C</v>
          </cell>
        </row>
        <row r="503">
          <cell r="C503">
            <v>2001</v>
          </cell>
          <cell r="D503" t="str">
            <v>Keanu Lingga Wardhana</v>
          </cell>
          <cell r="E503" t="str">
            <v>6C</v>
          </cell>
        </row>
        <row r="504">
          <cell r="C504">
            <v>2002</v>
          </cell>
          <cell r="D504" t="str">
            <v>Keisha Anindita Zahra</v>
          </cell>
          <cell r="E504" t="str">
            <v>6C</v>
          </cell>
        </row>
        <row r="505">
          <cell r="C505">
            <v>2004</v>
          </cell>
          <cell r="D505" t="str">
            <v>Mahnoor Salmaa</v>
          </cell>
          <cell r="E505" t="str">
            <v>6C</v>
          </cell>
        </row>
        <row r="506">
          <cell r="C506">
            <v>2229</v>
          </cell>
          <cell r="D506" t="str">
            <v xml:space="preserve">Mikhayla Dafni Arraudha </v>
          </cell>
          <cell r="E506" t="str">
            <v>6C</v>
          </cell>
        </row>
        <row r="507">
          <cell r="C507">
            <v>2007</v>
          </cell>
          <cell r="D507" t="str">
            <v>Moreno Damarjati Ramadhan</v>
          </cell>
          <cell r="E507" t="str">
            <v>6C</v>
          </cell>
        </row>
        <row r="508">
          <cell r="C508">
            <v>2012</v>
          </cell>
          <cell r="D508" t="str">
            <v>Muhammad Nur Rachman</v>
          </cell>
          <cell r="E508" t="str">
            <v>6C</v>
          </cell>
        </row>
        <row r="509">
          <cell r="C509">
            <v>2014</v>
          </cell>
          <cell r="D509" t="str">
            <v>Nabila Arsyfa Salsabila</v>
          </cell>
          <cell r="E509" t="str">
            <v>6C</v>
          </cell>
        </row>
        <row r="510">
          <cell r="C510">
            <v>2016</v>
          </cell>
          <cell r="D510" t="str">
            <v>Nadiya Putri Arrachmah</v>
          </cell>
          <cell r="E510" t="str">
            <v>6C</v>
          </cell>
        </row>
        <row r="511">
          <cell r="C511">
            <v>2020</v>
          </cell>
          <cell r="D511" t="str">
            <v>Naura Bilqis Khumaira</v>
          </cell>
          <cell r="E511" t="str">
            <v>6C</v>
          </cell>
        </row>
        <row r="512">
          <cell r="C512">
            <v>2028</v>
          </cell>
          <cell r="D512" t="str">
            <v>Septa Muhammad Habibie Ramadhan</v>
          </cell>
          <cell r="E512" t="str">
            <v>6C</v>
          </cell>
        </row>
        <row r="513">
          <cell r="C513">
            <v>2032</v>
          </cell>
          <cell r="D513" t="str">
            <v>Zacky Alan Ghibran</v>
          </cell>
          <cell r="E513" t="str">
            <v>6C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8360-FA21-4EEE-8F18-6504D07A0B1C}">
  <dimension ref="A1:F538"/>
  <sheetViews>
    <sheetView tabSelected="1" topLeftCell="A466" zoomScale="50" zoomScaleNormal="50" workbookViewId="0">
      <selection activeCell="A515" sqref="A515"/>
    </sheetView>
  </sheetViews>
  <sheetFormatPr defaultColWidth="9.21875" defaultRowHeight="14.4" x14ac:dyDescent="0.3"/>
  <cols>
    <col min="1" max="1" width="23.44140625" customWidth="1"/>
    <col min="2" max="2" width="6.21875" customWidth="1"/>
    <col min="3" max="3" width="3.77734375" style="1" customWidth="1"/>
    <col min="4" max="4" width="8" customWidth="1"/>
    <col min="5" max="5" width="63.6640625" customWidth="1"/>
    <col min="6" max="6" width="7" customWidth="1"/>
  </cols>
  <sheetData>
    <row r="1" spans="1:6" ht="22.8" x14ac:dyDescent="0.4">
      <c r="A1" s="45" t="s">
        <v>0</v>
      </c>
      <c r="B1" s="45"/>
      <c r="C1" s="45"/>
      <c r="D1" s="45"/>
      <c r="E1" s="45"/>
      <c r="F1" s="45"/>
    </row>
    <row r="2" spans="1:6" x14ac:dyDescent="0.3">
      <c r="B2" s="2"/>
      <c r="C2" s="3"/>
      <c r="D2" s="4"/>
      <c r="E2" s="2"/>
      <c r="F2" s="2"/>
    </row>
    <row r="3" spans="1:6" ht="15.6" x14ac:dyDescent="0.3">
      <c r="A3" s="46" t="s">
        <v>1</v>
      </c>
      <c r="B3" s="5"/>
      <c r="C3" s="5"/>
      <c r="D3" s="6">
        <v>1</v>
      </c>
      <c r="E3" s="5">
        <v>2</v>
      </c>
      <c r="F3" s="5">
        <v>3</v>
      </c>
    </row>
    <row r="4" spans="1:6" ht="15.75" customHeight="1" x14ac:dyDescent="0.3">
      <c r="A4" s="46"/>
      <c r="B4" s="47" t="s">
        <v>2</v>
      </c>
      <c r="C4" s="5"/>
      <c r="D4" s="48" t="s">
        <v>3</v>
      </c>
      <c r="E4" s="47" t="s">
        <v>4</v>
      </c>
      <c r="F4" s="47" t="s">
        <v>5</v>
      </c>
    </row>
    <row r="5" spans="1:6" ht="15.75" customHeight="1" x14ac:dyDescent="0.3">
      <c r="A5" s="46"/>
      <c r="B5" s="47"/>
      <c r="C5" s="5"/>
      <c r="D5" s="48"/>
      <c r="E5" s="47"/>
      <c r="F5" s="47"/>
    </row>
    <row r="6" spans="1:6" ht="15.75" customHeight="1" x14ac:dyDescent="0.3">
      <c r="A6" s="39" t="s">
        <v>6</v>
      </c>
      <c r="B6" s="7">
        <v>1</v>
      </c>
      <c r="C6" s="8"/>
      <c r="D6" s="9">
        <v>2424</v>
      </c>
      <c r="E6" s="10" t="str">
        <f>VLOOKUP(D6,'[1]DATA BASE SANTRI'!$C$3:$E$513,2,FALSE)</f>
        <v>AIZA QIANA LOVA</v>
      </c>
      <c r="F6" s="11" t="str">
        <f>VLOOKUP(D6,'[1]DATA BASE SANTRI'!$C$3:$E$513,3,FALSE)</f>
        <v>1A</v>
      </c>
    </row>
    <row r="7" spans="1:6" ht="15.6" x14ac:dyDescent="0.3">
      <c r="A7" s="40"/>
      <c r="B7" s="13">
        <v>2</v>
      </c>
      <c r="C7" s="12"/>
      <c r="D7" s="14">
        <v>2429</v>
      </c>
      <c r="E7" s="10" t="str">
        <f>VLOOKUP(D7,'[1]DATA BASE SANTRI'!$C$3:$E$513,2,FALSE)</f>
        <v>ALLENA SEPTYA YUKA</v>
      </c>
      <c r="F7" s="11" t="str">
        <f>VLOOKUP(D7,'[1]DATA BASE SANTRI'!$C$3:$E$513,3,FALSE)</f>
        <v>1A</v>
      </c>
    </row>
    <row r="8" spans="1:6" ht="15.6" x14ac:dyDescent="0.3">
      <c r="A8" s="40"/>
      <c r="B8" s="7">
        <v>3</v>
      </c>
      <c r="C8" s="8"/>
      <c r="D8" s="14">
        <v>2431</v>
      </c>
      <c r="E8" s="10" t="str">
        <f>VLOOKUP(D8,'[1]DATA BASE SANTRI'!$C$3:$E$513,2,FALSE)</f>
        <v>ALMIRAH RAEHANUN ARBA</v>
      </c>
      <c r="F8" s="11" t="str">
        <f>VLOOKUP(D8,'[1]DATA BASE SANTRI'!$C$3:$E$513,3,FALSE)</f>
        <v>1A</v>
      </c>
    </row>
    <row r="9" spans="1:6" ht="15.6" x14ac:dyDescent="0.3">
      <c r="A9" s="40"/>
      <c r="B9" s="13">
        <v>4</v>
      </c>
      <c r="C9" s="12"/>
      <c r="D9" s="14">
        <v>2435</v>
      </c>
      <c r="E9" s="10" t="str">
        <f>VLOOKUP(D9,'[1]DATA BASE SANTRI'!$C$3:$E$513,2,FALSE)</f>
        <v>AQMAR DHANESA PUTRA</v>
      </c>
      <c r="F9" s="11" t="str">
        <f>VLOOKUP(D9,'[1]DATA BASE SANTRI'!$C$3:$E$513,3,FALSE)</f>
        <v>1A</v>
      </c>
    </row>
    <row r="10" spans="1:6" ht="15.6" x14ac:dyDescent="0.3">
      <c r="A10" s="40"/>
      <c r="B10" s="7">
        <v>5</v>
      </c>
      <c r="C10" s="8"/>
      <c r="D10" s="14">
        <v>2439</v>
      </c>
      <c r="E10" s="10" t="str">
        <f>VLOOKUP(D10,'[1]DATA BASE SANTRI'!$C$3:$E$513,2,FALSE)</f>
        <v>ASYILA ALTHAFUNNISA KIRANA</v>
      </c>
      <c r="F10" s="11" t="str">
        <f>VLOOKUP(D10,'[1]DATA BASE SANTRI'!$C$3:$E$513,3,FALSE)</f>
        <v>1A</v>
      </c>
    </row>
    <row r="11" spans="1:6" ht="15.6" x14ac:dyDescent="0.3">
      <c r="A11" s="40"/>
      <c r="B11" s="13">
        <v>6</v>
      </c>
      <c r="C11" s="12"/>
      <c r="D11" s="14">
        <v>2450</v>
      </c>
      <c r="E11" s="10" t="str">
        <f>VLOOKUP(D11,'[1]DATA BASE SANTRI'!$C$3:$E$513,2,FALSE)</f>
        <v>EVELYN APRILY PRASTIYA</v>
      </c>
      <c r="F11" s="11" t="str">
        <f>VLOOKUP(D11,'[1]DATA BASE SANTRI'!$C$3:$E$513,3,FALSE)</f>
        <v>1A</v>
      </c>
    </row>
    <row r="12" spans="1:6" ht="15.6" x14ac:dyDescent="0.3">
      <c r="A12" s="40"/>
      <c r="B12" s="7">
        <v>7</v>
      </c>
      <c r="C12" s="8"/>
      <c r="D12" s="14">
        <v>2452</v>
      </c>
      <c r="E12" s="10" t="str">
        <f>VLOOKUP(D12,'[1]DATA BASE SANTRI'!$C$3:$E$513,2,FALSE)</f>
        <v>FATIN ALESHA DZAKIYAH</v>
      </c>
      <c r="F12" s="11" t="str">
        <f>VLOOKUP(D12,'[1]DATA BASE SANTRI'!$C$3:$E$513,3,FALSE)</f>
        <v>1A</v>
      </c>
    </row>
    <row r="13" spans="1:6" ht="15.6" x14ac:dyDescent="0.3">
      <c r="A13" s="40"/>
      <c r="B13" s="13">
        <v>8</v>
      </c>
      <c r="C13" s="12"/>
      <c r="D13" s="14">
        <v>2457</v>
      </c>
      <c r="E13" s="10" t="str">
        <f>VLOOKUP(D13,'[1]DATA BASE SANTRI'!$C$3:$E$513,2,FALSE)</f>
        <v>GILVI SAMVIDA INSANI</v>
      </c>
      <c r="F13" s="11" t="str">
        <f>VLOOKUP(D13,'[1]DATA BASE SANTRI'!$C$3:$E$513,3,FALSE)</f>
        <v>1A</v>
      </c>
    </row>
    <row r="14" spans="1:6" ht="15.6" x14ac:dyDescent="0.3">
      <c r="A14" s="40"/>
      <c r="B14" s="7">
        <v>9</v>
      </c>
      <c r="C14" s="8"/>
      <c r="D14" s="14">
        <v>2458</v>
      </c>
      <c r="E14" s="10" t="str">
        <f>VLOOKUP(D14,'[1]DATA BASE SANTRI'!$C$3:$E$513,2,FALSE)</f>
        <v>HIRO UZAIR ARFIANSYAH</v>
      </c>
      <c r="F14" s="11" t="str">
        <f>VLOOKUP(D14,'[1]DATA BASE SANTRI'!$C$3:$E$513,3,FALSE)</f>
        <v>1A</v>
      </c>
    </row>
    <row r="15" spans="1:6" ht="15.6" x14ac:dyDescent="0.3">
      <c r="A15" s="40"/>
      <c r="B15" s="13">
        <v>10</v>
      </c>
      <c r="C15" s="8"/>
      <c r="D15" s="14">
        <v>2462</v>
      </c>
      <c r="E15" s="10" t="str">
        <f>VLOOKUP(D15,'[1]DATA BASE SANTRI'!$C$3:$E$513,2,FALSE)</f>
        <v>KAMALUDDIN AL BARISY</v>
      </c>
      <c r="F15" s="11" t="str">
        <f>VLOOKUP(D15,'[1]DATA BASE SANTRI'!$C$3:$E$513,3,FALSE)</f>
        <v>1A</v>
      </c>
    </row>
    <row r="16" spans="1:6" ht="15.6" x14ac:dyDescent="0.3">
      <c r="A16" s="40"/>
      <c r="B16" s="7">
        <v>11</v>
      </c>
      <c r="C16" s="8"/>
      <c r="D16" s="14">
        <v>2465</v>
      </c>
      <c r="E16" s="10" t="str">
        <f>VLOOKUP(D16,'[1]DATA BASE SANTRI'!$C$3:$E$513,2,FALSE)</f>
        <v>KHAIZAN ZULFAN WARDHANA</v>
      </c>
      <c r="F16" s="11" t="str">
        <f>VLOOKUP(D16,'[1]DATA BASE SANTRI'!$C$3:$E$513,3,FALSE)</f>
        <v>1A</v>
      </c>
    </row>
    <row r="17" spans="1:6" ht="15.6" x14ac:dyDescent="0.3">
      <c r="A17" s="40"/>
      <c r="B17" s="13">
        <v>12</v>
      </c>
      <c r="C17" s="8"/>
      <c r="D17" s="14">
        <v>2474</v>
      </c>
      <c r="E17" s="10" t="str">
        <f>VLOOKUP(D17,'[1]DATA BASE SANTRI'!$C$3:$E$513,2,FALSE)</f>
        <v>MUHAMMAD KENZIE ALAIKA DINUL HAQ ADZ DZIKRI</v>
      </c>
      <c r="F17" s="11" t="str">
        <f>VLOOKUP(D17,'[1]DATA BASE SANTRI'!$C$3:$E$513,3,FALSE)</f>
        <v>1A</v>
      </c>
    </row>
    <row r="18" spans="1:6" ht="15.6" x14ac:dyDescent="0.3">
      <c r="A18" s="40"/>
      <c r="B18" s="7">
        <v>13</v>
      </c>
      <c r="C18" s="8"/>
      <c r="D18" s="14">
        <v>2478</v>
      </c>
      <c r="E18" s="10" t="str">
        <f>VLOOKUP(D18,'[1]DATA BASE SANTRI'!$C$3:$E$513,2,FALSE)</f>
        <v>MUHAMMAD SHAQUILLE ALFAHREZY CAHYADI</v>
      </c>
      <c r="F18" s="11" t="str">
        <f>VLOOKUP(D18,'[1]DATA BASE SANTRI'!$C$3:$E$513,3,FALSE)</f>
        <v>1A</v>
      </c>
    </row>
    <row r="19" spans="1:6" ht="15.6" x14ac:dyDescent="0.3">
      <c r="A19" s="40"/>
      <c r="B19" s="13">
        <v>14</v>
      </c>
      <c r="C19" s="8"/>
      <c r="D19" s="14">
        <v>2479</v>
      </c>
      <c r="E19" s="10" t="str">
        <f>VLOOKUP(D19,'[1]DATA BASE SANTRI'!$C$3:$E$513,2,FALSE)</f>
        <v>MUHAMMAD ZHAFIR ALIMY</v>
      </c>
      <c r="F19" s="11" t="str">
        <f>VLOOKUP(D19,'[1]DATA BASE SANTRI'!$C$3:$E$513,3,FALSE)</f>
        <v>1A</v>
      </c>
    </row>
    <row r="20" spans="1:6" ht="15.6" x14ac:dyDescent="0.3">
      <c r="A20" s="40"/>
      <c r="B20" s="7">
        <v>15</v>
      </c>
      <c r="C20" s="8"/>
      <c r="D20" s="14">
        <v>2480</v>
      </c>
      <c r="E20" s="10" t="str">
        <f>VLOOKUP(D20,'[1]DATA BASE SANTRI'!$C$3:$E$513,2,FALSE)</f>
        <v>NADISHA SAFARAZ MAGHFIRAH</v>
      </c>
      <c r="F20" s="11" t="str">
        <f>VLOOKUP(D20,'[1]DATA BASE SANTRI'!$C$3:$E$513,3,FALSE)</f>
        <v>1A</v>
      </c>
    </row>
    <row r="21" spans="1:6" ht="15.6" x14ac:dyDescent="0.3">
      <c r="A21" s="40"/>
      <c r="B21" s="13">
        <v>16</v>
      </c>
      <c r="C21" s="8"/>
      <c r="D21" s="14">
        <v>2486</v>
      </c>
      <c r="E21" s="10" t="str">
        <f>VLOOKUP(D21,'[1]DATA BASE SANTRI'!$C$3:$E$513,2,FALSE)</f>
        <v>NAWWARA FASCHINAN MAHMUDIYYAH</v>
      </c>
      <c r="F21" s="11" t="str">
        <f>VLOOKUP(D21,'[1]DATA BASE SANTRI'!$C$3:$E$513,3,FALSE)</f>
        <v>1A</v>
      </c>
    </row>
    <row r="22" spans="1:6" ht="15.6" x14ac:dyDescent="0.3">
      <c r="A22" s="40"/>
      <c r="B22" s="7">
        <v>17</v>
      </c>
      <c r="C22" s="8"/>
      <c r="D22" s="14">
        <v>2491</v>
      </c>
      <c r="E22" s="10" t="str">
        <f>VLOOKUP(D22,'[1]DATA BASE SANTRI'!$C$3:$E$513,2,FALSE)</f>
        <v>RAFANDA ZAHRA NAFISAH</v>
      </c>
      <c r="F22" s="11" t="str">
        <f>VLOOKUP(D22,'[1]DATA BASE SANTRI'!$C$3:$E$513,3,FALSE)</f>
        <v>1A</v>
      </c>
    </row>
    <row r="23" spans="1:6" ht="15.6" x14ac:dyDescent="0.3">
      <c r="A23" s="40"/>
      <c r="B23" s="13">
        <v>18</v>
      </c>
      <c r="C23" s="8"/>
      <c r="D23" s="14">
        <v>2493</v>
      </c>
      <c r="E23" s="10" t="str">
        <f>VLOOKUP(D23,'[1]DATA BASE SANTRI'!$C$3:$E$513,2,FALSE)</f>
        <v>RAFI MAULANA ALFARIZI</v>
      </c>
      <c r="F23" s="11" t="str">
        <f>VLOOKUP(D23,'[1]DATA BASE SANTRI'!$C$3:$E$513,3,FALSE)</f>
        <v>1A</v>
      </c>
    </row>
    <row r="24" spans="1:6" ht="15.6" x14ac:dyDescent="0.3">
      <c r="A24" s="40"/>
      <c r="B24" s="7">
        <v>19</v>
      </c>
      <c r="C24" s="8"/>
      <c r="D24" s="14">
        <v>2497</v>
      </c>
      <c r="E24" s="10" t="str">
        <f>VLOOKUP(D24,'[1]DATA BASE SANTRI'!$C$3:$E$513,2,FALSE)</f>
        <v>RYOTA KENZIE ALFAREZI</v>
      </c>
      <c r="F24" s="11" t="str">
        <f>VLOOKUP(D24,'[1]DATA BASE SANTRI'!$C$3:$E$513,3,FALSE)</f>
        <v>1A</v>
      </c>
    </row>
    <row r="25" spans="1:6" ht="15.6" x14ac:dyDescent="0.3">
      <c r="A25" s="40"/>
      <c r="B25" s="13">
        <v>20</v>
      </c>
      <c r="C25" s="8"/>
      <c r="D25" s="14">
        <v>2501</v>
      </c>
      <c r="E25" s="10" t="str">
        <f>VLOOKUP(D25,'[1]DATA BASE SANTRI'!$C$3:$E$513,2,FALSE)</f>
        <v>SEMBRANI RAJANAGARI ABDHI PENGERAN</v>
      </c>
      <c r="F25" s="11" t="str">
        <f>VLOOKUP(D25,'[1]DATA BASE SANTRI'!$C$3:$E$513,3,FALSE)</f>
        <v>1A</v>
      </c>
    </row>
    <row r="26" spans="1:6" ht="15.6" x14ac:dyDescent="0.3">
      <c r="A26" s="40"/>
      <c r="B26" s="7">
        <v>21</v>
      </c>
      <c r="C26" s="8"/>
      <c r="D26" s="14">
        <v>2422</v>
      </c>
      <c r="E26" s="10" t="str">
        <f>VLOOKUP(D26,'[1]DATA BASE SANTRI'!$C$3:$E$513,2,FALSE)</f>
        <v>AHMAD ADZRIEL ABQARY</v>
      </c>
      <c r="F26" s="11" t="str">
        <f>VLOOKUP(D26,'[1]DATA BASE SANTRI'!$C$3:$E$513,3,FALSE)</f>
        <v>1B</v>
      </c>
    </row>
    <row r="27" spans="1:6" ht="15.6" x14ac:dyDescent="0.3">
      <c r="A27" s="40"/>
      <c r="B27" s="13">
        <v>22</v>
      </c>
      <c r="C27" s="8"/>
      <c r="D27" s="14">
        <v>2433</v>
      </c>
      <c r="E27" s="10" t="str">
        <f>VLOOKUP(D27,'[1]DATA BASE SANTRI'!$C$3:$E$513,2,FALSE)</f>
        <v>ANDROMEYDA JAYAWARDHANA</v>
      </c>
      <c r="F27" s="11" t="str">
        <f>VLOOKUP(D27,'[1]DATA BASE SANTRI'!$C$3:$E$513,3,FALSE)</f>
        <v>1B</v>
      </c>
    </row>
    <row r="28" spans="1:6" ht="15.6" x14ac:dyDescent="0.3">
      <c r="A28" s="40"/>
      <c r="B28" s="7">
        <v>23</v>
      </c>
      <c r="C28" s="8"/>
      <c r="D28" s="14">
        <v>2436</v>
      </c>
      <c r="E28" s="10" t="str">
        <f>VLOOKUP(D28,'[1]DATA BASE SANTRI'!$C$3:$E$513,2,FALSE)</f>
        <v>ARION KENZO KURNIAWAN</v>
      </c>
      <c r="F28" s="11" t="str">
        <f>VLOOKUP(D28,'[1]DATA BASE SANTRI'!$C$3:$E$513,3,FALSE)</f>
        <v>1B</v>
      </c>
    </row>
    <row r="29" spans="1:6" ht="15.6" x14ac:dyDescent="0.3">
      <c r="A29" s="40"/>
      <c r="B29" s="13">
        <v>24</v>
      </c>
      <c r="C29" s="8"/>
      <c r="D29" s="14">
        <v>2438</v>
      </c>
      <c r="E29" s="10" t="str">
        <f>VLOOKUP(D29,'[1]DATA BASE SANTRI'!$C$3:$E$513,2,FALSE)</f>
        <v>ASYIFA RATNA SUKMAWATI</v>
      </c>
      <c r="F29" s="11" t="str">
        <f>VLOOKUP(D29,'[1]DATA BASE SANTRI'!$C$3:$E$513,3,FALSE)</f>
        <v>1B</v>
      </c>
    </row>
    <row r="30" spans="1:6" ht="15.6" x14ac:dyDescent="0.3">
      <c r="A30" s="40"/>
      <c r="B30" s="7">
        <v>25</v>
      </c>
      <c r="C30" s="8"/>
      <c r="D30" s="14">
        <v>2440</v>
      </c>
      <c r="E30" s="10" t="str">
        <f>VLOOKUP(D30,'[1]DATA BASE SANTRI'!$C$3:$E$513,2,FALSE)</f>
        <v>ATAFARIS RADEYA FATIR</v>
      </c>
      <c r="F30" s="11" t="str">
        <f>VLOOKUP(D30,'[1]DATA BASE SANTRI'!$C$3:$E$513,3,FALSE)</f>
        <v>1B</v>
      </c>
    </row>
    <row r="31" spans="1:6" ht="15.6" x14ac:dyDescent="0.3">
      <c r="A31" s="40"/>
      <c r="B31" s="13">
        <v>26</v>
      </c>
      <c r="C31" s="8"/>
      <c r="D31" s="14">
        <v>2451</v>
      </c>
      <c r="E31" s="10" t="str">
        <f>VLOOKUP(D31,'[1]DATA BASE SANTRI'!$C$3:$E$513,2,FALSE)</f>
        <v>FAHRULROZI HARITS</v>
      </c>
      <c r="F31" s="11" t="str">
        <f>VLOOKUP(D31,'[1]DATA BASE SANTRI'!$C$3:$E$513,3,FALSE)</f>
        <v>1B</v>
      </c>
    </row>
    <row r="32" spans="1:6" ht="15.6" x14ac:dyDescent="0.3">
      <c r="A32" s="40"/>
      <c r="B32" s="7">
        <v>27</v>
      </c>
      <c r="C32" s="8"/>
      <c r="D32" s="14">
        <v>2467</v>
      </c>
      <c r="E32" s="10" t="str">
        <f>VLOOKUP(D32,'[1]DATA BASE SANTRI'!$C$3:$E$513,2,FALSE)</f>
        <v>LOVARSYILA GRIZELLE ABITA</v>
      </c>
      <c r="F32" s="11" t="str">
        <f>VLOOKUP(D32,'[1]DATA BASE SANTRI'!$C$3:$E$513,3,FALSE)</f>
        <v>1B</v>
      </c>
    </row>
    <row r="33" spans="1:6" ht="15.6" x14ac:dyDescent="0.3">
      <c r="A33" s="40"/>
      <c r="B33" s="13">
        <v>28</v>
      </c>
      <c r="C33" s="8"/>
      <c r="D33" s="14">
        <v>2470</v>
      </c>
      <c r="E33" s="10" t="str">
        <f>VLOOKUP(D33,'[1]DATA BASE SANTRI'!$C$3:$E$513,2,FALSE)</f>
        <v>MUHAMMAD AQMAR NAUFAL SYAHREZA</v>
      </c>
      <c r="F33" s="11" t="str">
        <f>VLOOKUP(D33,'[1]DATA BASE SANTRI'!$C$3:$E$513,3,FALSE)</f>
        <v>1B</v>
      </c>
    </row>
    <row r="34" spans="1:6" ht="15.6" x14ac:dyDescent="0.3">
      <c r="A34" s="40"/>
      <c r="B34" s="7">
        <v>29</v>
      </c>
      <c r="C34" s="8"/>
      <c r="D34" s="14">
        <v>2471</v>
      </c>
      <c r="E34" s="10" t="str">
        <f>VLOOKUP(D34,'[1]DATA BASE SANTRI'!$C$3:$E$513,2,FALSE)</f>
        <v>MUHAMMAD AZRIL ABIDZAR</v>
      </c>
      <c r="F34" s="11" t="str">
        <f>VLOOKUP(D34,'[1]DATA BASE SANTRI'!$C$3:$E$513,3,FALSE)</f>
        <v>1B</v>
      </c>
    </row>
    <row r="35" spans="1:6" ht="15.6" x14ac:dyDescent="0.3">
      <c r="A35" s="40"/>
      <c r="B35" s="13">
        <v>30</v>
      </c>
      <c r="C35" s="8"/>
      <c r="D35" s="14">
        <v>2482</v>
      </c>
      <c r="E35" s="10" t="str">
        <f>VLOOKUP(D35,'[1]DATA BASE SANTRI'!$C$3:$E$513,2,FALSE)</f>
        <v>NALINDRIA AISYAH AZZAHRA</v>
      </c>
      <c r="F35" s="11" t="str">
        <f>VLOOKUP(D35,'[1]DATA BASE SANTRI'!$C$3:$E$513,3,FALSE)</f>
        <v>1B</v>
      </c>
    </row>
    <row r="36" spans="1:6" ht="15.6" x14ac:dyDescent="0.3">
      <c r="A36" s="40"/>
      <c r="B36" s="7">
        <v>31</v>
      </c>
      <c r="C36" s="8"/>
      <c r="D36" s="14">
        <v>2494</v>
      </c>
      <c r="E36" s="10" t="str">
        <f>VLOOKUP(D36,'[1]DATA BASE SANTRI'!$C$3:$E$513,2,FALSE)</f>
        <v>RAFKAH ALFAKIH MULTAZAMAH</v>
      </c>
      <c r="F36" s="11" t="str">
        <f>VLOOKUP(D36,'[1]DATA BASE SANTRI'!$C$3:$E$513,3,FALSE)</f>
        <v>1B</v>
      </c>
    </row>
    <row r="37" spans="1:6" ht="15.6" x14ac:dyDescent="0.3">
      <c r="A37" s="40"/>
      <c r="B37" s="13">
        <v>32</v>
      </c>
      <c r="C37" s="8"/>
      <c r="D37" s="14">
        <v>2495</v>
      </c>
      <c r="E37" s="10" t="str">
        <f>VLOOKUP(D37,'[1]DATA BASE SANTRI'!$C$3:$E$513,2,FALSE)</f>
        <v>RAHIL ALMAHYRAH FIRDAUS</v>
      </c>
      <c r="F37" s="11" t="str">
        <f>VLOOKUP(D37,'[1]DATA BASE SANTRI'!$C$3:$E$513,3,FALSE)</f>
        <v>1B</v>
      </c>
    </row>
    <row r="38" spans="1:6" ht="15.6" x14ac:dyDescent="0.3">
      <c r="A38" s="40"/>
      <c r="B38" s="7">
        <v>33</v>
      </c>
      <c r="C38" s="8"/>
      <c r="D38" s="14">
        <v>2500</v>
      </c>
      <c r="E38" s="10" t="str">
        <f>VLOOKUP(D38,'[1]DATA BASE SANTRI'!$C$3:$E$513,2,FALSE)</f>
        <v>SATRIYA PUTRA DEWANGGA</v>
      </c>
      <c r="F38" s="11" t="str">
        <f>VLOOKUP(D38,'[1]DATA BASE SANTRI'!$C$3:$E$513,3,FALSE)</f>
        <v>1B</v>
      </c>
    </row>
    <row r="39" spans="1:6" ht="15.6" x14ac:dyDescent="0.3">
      <c r="A39" s="40"/>
      <c r="B39" s="13">
        <v>34</v>
      </c>
      <c r="C39" s="8"/>
      <c r="D39" s="14">
        <v>2506</v>
      </c>
      <c r="E39" s="10" t="str">
        <f>VLOOKUP(D39,'[1]DATA BASE SANTRI'!$C$3:$E$513,2,FALSE)</f>
        <v>ZAYN MALIK PRADIBTA</v>
      </c>
      <c r="F39" s="11" t="str">
        <f>VLOOKUP(D39,'[1]DATA BASE SANTRI'!$C$3:$E$513,3,FALSE)</f>
        <v>1B</v>
      </c>
    </row>
    <row r="40" spans="1:6" ht="15.6" x14ac:dyDescent="0.3">
      <c r="A40" s="40"/>
      <c r="B40" s="7">
        <v>35</v>
      </c>
      <c r="C40" s="8"/>
      <c r="D40" s="14">
        <v>2507</v>
      </c>
      <c r="E40" s="10" t="str">
        <f>VLOOKUP(D40,'[1]DATA BASE SANTRI'!$C$3:$E$513,2,FALSE)</f>
        <v>ZIDAN HATTA PRATAMA</v>
      </c>
      <c r="F40" s="11" t="str">
        <f>VLOOKUP(D40,'[1]DATA BASE SANTRI'!$C$3:$E$513,3,FALSE)</f>
        <v>1B</v>
      </c>
    </row>
    <row r="41" spans="1:6" ht="15.6" x14ac:dyDescent="0.3">
      <c r="A41" s="40"/>
      <c r="B41" s="13">
        <v>36</v>
      </c>
      <c r="C41" s="8"/>
      <c r="D41" s="14">
        <v>2420</v>
      </c>
      <c r="E41" s="10" t="str">
        <f>VLOOKUP(D41,'[1]DATA BASE SANTRI'!$C$3:$E$513,2,FALSE)</f>
        <v>ABIMANA CAKRA RANAWIJAYA</v>
      </c>
      <c r="F41" s="11" t="str">
        <f>VLOOKUP(D41,'[1]DATA BASE SANTRI'!$C$3:$E$513,3,FALSE)</f>
        <v>1C</v>
      </c>
    </row>
    <row r="42" spans="1:6" ht="15.6" x14ac:dyDescent="0.3">
      <c r="A42" s="40"/>
      <c r="B42" s="7">
        <v>37</v>
      </c>
      <c r="C42" s="8"/>
      <c r="D42" s="14">
        <v>2423</v>
      </c>
      <c r="E42" s="10" t="str">
        <f>VLOOKUP(D42,'[1]DATA BASE SANTRI'!$C$3:$E$513,2,FALSE)</f>
        <v>AHNAF ZIYAN AHMAD</v>
      </c>
      <c r="F42" s="11" t="str">
        <f>VLOOKUP(D42,'[1]DATA BASE SANTRI'!$C$3:$E$513,3,FALSE)</f>
        <v>1C</v>
      </c>
    </row>
    <row r="43" spans="1:6" ht="15.6" x14ac:dyDescent="0.3">
      <c r="A43" s="40"/>
      <c r="B43" s="13">
        <v>38</v>
      </c>
      <c r="C43" s="8"/>
      <c r="D43" s="14">
        <v>2425</v>
      </c>
      <c r="E43" s="10" t="str">
        <f>VLOOKUP(D43,'[1]DATA BASE SANTRI'!$C$3:$E$513,2,FALSE)</f>
        <v>ALDIO ALFARIZQY SAKABUMI</v>
      </c>
      <c r="F43" s="11" t="str">
        <f>VLOOKUP(D43,'[1]DATA BASE SANTRI'!$C$3:$E$513,3,FALSE)</f>
        <v>1C</v>
      </c>
    </row>
    <row r="44" spans="1:6" ht="15.6" x14ac:dyDescent="0.3">
      <c r="A44" s="40"/>
      <c r="B44" s="7">
        <v>39</v>
      </c>
      <c r="C44" s="8"/>
      <c r="D44" s="14">
        <v>2427</v>
      </c>
      <c r="E44" s="10" t="str">
        <f>VLOOKUP(D44,'[1]DATA BASE SANTRI'!$C$3:$E$513,2,FALSE)</f>
        <v>ALESHA FAIRUZ ARRAFI</v>
      </c>
      <c r="F44" s="11" t="str">
        <f>VLOOKUP(D44,'[1]DATA BASE SANTRI'!$C$3:$E$513,3,FALSE)</f>
        <v>1C</v>
      </c>
    </row>
    <row r="45" spans="1:6" ht="15.6" x14ac:dyDescent="0.3">
      <c r="A45" s="40"/>
      <c r="B45" s="13">
        <v>40</v>
      </c>
      <c r="C45" s="8"/>
      <c r="D45" s="14">
        <v>2428</v>
      </c>
      <c r="E45" s="10" t="str">
        <f>VLOOKUP(D45,'[1]DATA BASE SANTRI'!$C$3:$E$513,2,FALSE)</f>
        <v>ALIFANA BESTARI PUTRI</v>
      </c>
      <c r="F45" s="11" t="str">
        <f>VLOOKUP(D45,'[1]DATA BASE SANTRI'!$C$3:$E$513,3,FALSE)</f>
        <v>1C</v>
      </c>
    </row>
    <row r="46" spans="1:6" ht="15.6" x14ac:dyDescent="0.3">
      <c r="A46" s="40"/>
      <c r="B46" s="7">
        <v>41</v>
      </c>
      <c r="C46" s="8"/>
      <c r="D46" s="14">
        <v>2432</v>
      </c>
      <c r="E46" s="10" t="str">
        <f>VLOOKUP(D46,'[1]DATA BASE SANTRI'!$C$3:$E$513,2,FALSE)</f>
        <v>ALVARENDRA DEVANKA SETYAWAN</v>
      </c>
      <c r="F46" s="11" t="str">
        <f>VLOOKUP(D46,'[1]DATA BASE SANTRI'!$C$3:$E$513,3,FALSE)</f>
        <v>1C</v>
      </c>
    </row>
    <row r="47" spans="1:6" ht="15.6" x14ac:dyDescent="0.3">
      <c r="A47" s="40"/>
      <c r="B47" s="13">
        <v>42</v>
      </c>
      <c r="C47" s="8"/>
      <c r="D47" s="14">
        <v>2443</v>
      </c>
      <c r="E47" s="10" t="str">
        <f>VLOOKUP(D47,'[1]DATA BASE SANTRI'!$C$3:$E$513,2,FALSE)</f>
        <v>BILAL NUR RAHSYA</v>
      </c>
      <c r="F47" s="11" t="str">
        <f>VLOOKUP(D47,'[1]DATA BASE SANTRI'!$C$3:$E$513,3,FALSE)</f>
        <v>1C</v>
      </c>
    </row>
    <row r="48" spans="1:6" ht="15.6" x14ac:dyDescent="0.3">
      <c r="A48" s="40"/>
      <c r="B48" s="7">
        <v>43</v>
      </c>
      <c r="C48" s="8"/>
      <c r="D48" s="14">
        <v>2449</v>
      </c>
      <c r="E48" s="10" t="str">
        <f>VLOOKUP(D48,'[1]DATA BASE SANTRI'!$C$3:$E$513,2,FALSE)</f>
        <v>EMIER DEVANANTA AL AMIN</v>
      </c>
      <c r="F48" s="11" t="str">
        <f>VLOOKUP(D48,'[1]DATA BASE SANTRI'!$C$3:$E$513,3,FALSE)</f>
        <v>1C</v>
      </c>
    </row>
    <row r="49" spans="1:6" ht="15.6" x14ac:dyDescent="0.3">
      <c r="A49" s="40"/>
      <c r="B49" s="13">
        <v>44</v>
      </c>
      <c r="C49" s="8"/>
      <c r="D49" s="14">
        <v>2453</v>
      </c>
      <c r="E49" s="10" t="str">
        <f>VLOOKUP(D49,'[1]DATA BASE SANTRI'!$C$3:$E$513,2,FALSE)</f>
        <v xml:space="preserve">FAYRA MIKHAYLA ALESHA </v>
      </c>
      <c r="F49" s="11" t="str">
        <f>VLOOKUP(D49,'[1]DATA BASE SANTRI'!$C$3:$E$513,3,FALSE)</f>
        <v>1C</v>
      </c>
    </row>
    <row r="50" spans="1:6" ht="15.6" x14ac:dyDescent="0.3">
      <c r="A50" s="40"/>
      <c r="B50" s="7">
        <v>45</v>
      </c>
      <c r="C50" s="8"/>
      <c r="D50" s="14">
        <v>2454</v>
      </c>
      <c r="E50" s="10" t="str">
        <f>VLOOKUP(D50,'[1]DATA BASE SANTRI'!$C$3:$E$513,2,FALSE)</f>
        <v>GADIS BRILIAN</v>
      </c>
      <c r="F50" s="11" t="str">
        <f>VLOOKUP(D50,'[1]DATA BASE SANTRI'!$C$3:$E$513,3,FALSE)</f>
        <v>1C</v>
      </c>
    </row>
    <row r="51" spans="1:6" ht="15.6" x14ac:dyDescent="0.3">
      <c r="A51" s="40"/>
      <c r="B51" s="13">
        <v>46</v>
      </c>
      <c r="C51" s="8"/>
      <c r="D51" s="14">
        <v>2456</v>
      </c>
      <c r="E51" s="10" t="str">
        <f>VLOOKUP(D51,'[1]DATA BASE SANTRI'!$C$3:$E$513,2,FALSE)</f>
        <v>GHINA SYA'BAN SUHAIMAH</v>
      </c>
      <c r="F51" s="11" t="str">
        <f>VLOOKUP(D51,'[1]DATA BASE SANTRI'!$C$3:$E$513,3,FALSE)</f>
        <v>1C</v>
      </c>
    </row>
    <row r="52" spans="1:6" ht="15.6" x14ac:dyDescent="0.3">
      <c r="A52" s="40"/>
      <c r="B52" s="7">
        <v>47</v>
      </c>
      <c r="C52" s="8"/>
      <c r="D52" s="14">
        <v>2460</v>
      </c>
      <c r="E52" s="10" t="str">
        <f>VLOOKUP(D52,'[1]DATA BASE SANTRI'!$C$3:$E$513,2,FALSE)</f>
        <v>IBRAHIM AL GHAZI SETIONO</v>
      </c>
      <c r="F52" s="11" t="str">
        <f>VLOOKUP(D52,'[1]DATA BASE SANTRI'!$C$3:$E$513,3,FALSE)</f>
        <v>1C</v>
      </c>
    </row>
    <row r="53" spans="1:6" ht="15.6" x14ac:dyDescent="0.3">
      <c r="A53" s="40"/>
      <c r="B53" s="13">
        <v>48</v>
      </c>
      <c r="C53" s="8"/>
      <c r="D53" s="14">
        <v>2464</v>
      </c>
      <c r="E53" s="10" t="str">
        <f>VLOOKUP(D53,'[1]DATA BASE SANTRI'!$C$3:$E$513,2,FALSE)</f>
        <v>KHADIJAH AZZARAH</v>
      </c>
      <c r="F53" s="11" t="str">
        <f>VLOOKUP(D53,'[1]DATA BASE SANTRI'!$C$3:$E$513,3,FALSE)</f>
        <v>1C</v>
      </c>
    </row>
    <row r="54" spans="1:6" ht="15.6" x14ac:dyDescent="0.3">
      <c r="A54" s="40"/>
      <c r="B54" s="7">
        <v>49</v>
      </c>
      <c r="C54" s="8"/>
      <c r="D54" s="14">
        <v>2473</v>
      </c>
      <c r="E54" s="10" t="str">
        <f>VLOOKUP(D54,'[1]DATA BASE SANTRI'!$C$3:$E$513,2,FALSE)</f>
        <v>MUHAMMAD JANUE BHASKARA</v>
      </c>
      <c r="F54" s="11" t="str">
        <f>VLOOKUP(D54,'[1]DATA BASE SANTRI'!$C$3:$E$513,3,FALSE)</f>
        <v>1C</v>
      </c>
    </row>
    <row r="55" spans="1:6" ht="15.6" x14ac:dyDescent="0.3">
      <c r="A55" s="40"/>
      <c r="B55" s="13">
        <v>50</v>
      </c>
      <c r="C55" s="8"/>
      <c r="D55" s="14">
        <v>2476</v>
      </c>
      <c r="E55" s="10" t="str">
        <f>VLOOKUP(D55,'[1]DATA BASE SANTRI'!$C$3:$E$513,2,FALSE)</f>
        <v>MUHAMMAD RAFIF ALFARISKY</v>
      </c>
      <c r="F55" s="11" t="str">
        <f>VLOOKUP(D55,'[1]DATA BASE SANTRI'!$C$3:$E$513,3,FALSE)</f>
        <v>1C</v>
      </c>
    </row>
    <row r="56" spans="1:6" ht="15.6" x14ac:dyDescent="0.3">
      <c r="A56" s="40"/>
      <c r="B56" s="7">
        <v>51</v>
      </c>
      <c r="C56" s="8"/>
      <c r="D56" s="14">
        <v>2481</v>
      </c>
      <c r="E56" s="10" t="str">
        <f>VLOOKUP(D56,'[1]DATA BASE SANTRI'!$C$3:$E$513,2,FALSE)</f>
        <v>NAFISAH AZ-ZAHRA</v>
      </c>
      <c r="F56" s="11" t="str">
        <f>VLOOKUP(D56,'[1]DATA BASE SANTRI'!$C$3:$E$513,3,FALSE)</f>
        <v>1C</v>
      </c>
    </row>
    <row r="57" spans="1:6" ht="15.6" x14ac:dyDescent="0.3">
      <c r="A57" s="40"/>
      <c r="B57" s="13">
        <v>52</v>
      </c>
      <c r="C57" s="8"/>
      <c r="D57" s="14">
        <v>2484</v>
      </c>
      <c r="E57" s="10" t="str">
        <f>VLOOKUP(D57,'[1]DATA BASE SANTRI'!$C$3:$E$513,2,FALSE)</f>
        <v>NAURA AZKADINA PALUPI</v>
      </c>
      <c r="F57" s="11" t="str">
        <f>VLOOKUP(D57,'[1]DATA BASE SANTRI'!$C$3:$E$513,3,FALSE)</f>
        <v>1C</v>
      </c>
    </row>
    <row r="58" spans="1:6" ht="15.6" x14ac:dyDescent="0.3">
      <c r="A58" s="40"/>
      <c r="B58" s="7">
        <v>53</v>
      </c>
      <c r="C58" s="8"/>
      <c r="D58" s="14">
        <v>2492</v>
      </c>
      <c r="E58" s="10" t="str">
        <f>VLOOKUP(D58,'[1]DATA BASE SANTRI'!$C$3:$E$513,2,FALSE)</f>
        <v>RAFFASYA FATIH ALBIRRU</v>
      </c>
      <c r="F58" s="11" t="str">
        <f>VLOOKUP(D58,'[1]DATA BASE SANTRI'!$C$3:$E$513,3,FALSE)</f>
        <v>1C</v>
      </c>
    </row>
    <row r="59" spans="1:6" ht="15.6" x14ac:dyDescent="0.3">
      <c r="A59" s="40"/>
      <c r="B59" s="13">
        <v>54</v>
      </c>
      <c r="C59" s="8"/>
      <c r="D59" s="14">
        <v>2496</v>
      </c>
      <c r="E59" s="10" t="str">
        <f>VLOOKUP(D59,'[1]DATA BASE SANTRI'!$C$3:$E$513,2,FALSE)</f>
        <v>RANIA MEYDHITA PRATAMA</v>
      </c>
      <c r="F59" s="11" t="str">
        <f>VLOOKUP(D59,'[1]DATA BASE SANTRI'!$C$3:$E$513,3,FALSE)</f>
        <v>1C</v>
      </c>
    </row>
    <row r="60" spans="1:6" ht="15.6" x14ac:dyDescent="0.3">
      <c r="A60" s="40"/>
      <c r="B60" s="7">
        <v>55</v>
      </c>
      <c r="C60" s="8"/>
      <c r="D60" s="14">
        <v>2504</v>
      </c>
      <c r="E60" s="10" t="str">
        <f>VLOOKUP(D60,'[1]DATA BASE SANTRI'!$C$3:$E$513,2,FALSE)</f>
        <v>TAHEERA MUBARIKA</v>
      </c>
      <c r="F60" s="11" t="str">
        <f>VLOOKUP(D60,'[1]DATA BASE SANTRI'!$C$3:$E$513,3,FALSE)</f>
        <v>1C</v>
      </c>
    </row>
    <row r="61" spans="1:6" ht="15.6" x14ac:dyDescent="0.3">
      <c r="A61" s="41"/>
      <c r="B61" s="13">
        <v>56</v>
      </c>
      <c r="C61" s="8"/>
      <c r="D61" s="14">
        <v>2505</v>
      </c>
      <c r="E61" s="10" t="str">
        <f>VLOOKUP(D61,'[1]DATA BASE SANTRI'!$C$3:$E$513,2,FALSE)</f>
        <v>YUSSEF ALEKHINE</v>
      </c>
      <c r="F61" s="11" t="str">
        <f>VLOOKUP(D61,'[1]DATA BASE SANTRI'!$C$3:$E$513,3,FALSE)</f>
        <v>1C</v>
      </c>
    </row>
    <row r="62" spans="1:6" ht="15.45" customHeight="1" x14ac:dyDescent="0.3">
      <c r="A62" s="42" t="s">
        <v>7</v>
      </c>
      <c r="B62" s="7">
        <v>1</v>
      </c>
      <c r="C62" s="8">
        <v>1</v>
      </c>
      <c r="D62" s="15">
        <v>2336</v>
      </c>
      <c r="E62" s="10" t="str">
        <f>VLOOKUP(D62,'[1]DATA BASE SANTRI'!$C$91:$E$513,2,FALSE)</f>
        <v>Althaf Hafizh Nugroho</v>
      </c>
      <c r="F62" s="11" t="str">
        <f>VLOOKUP(D62,'[1]DATA BASE SANTRI'!$C$91:$E$513,3,FALSE)</f>
        <v>2A</v>
      </c>
    </row>
    <row r="63" spans="1:6" ht="15.6" x14ac:dyDescent="0.3">
      <c r="A63" s="43"/>
      <c r="B63" s="13">
        <v>2</v>
      </c>
      <c r="C63" s="12">
        <v>2</v>
      </c>
      <c r="D63" s="16">
        <v>2361</v>
      </c>
      <c r="E63" s="10" t="str">
        <f>VLOOKUP(D63,'[1]DATA BASE SANTRI'!$C$91:$E$513,2,FALSE)</f>
        <v>Hana Shafiyah Husein</v>
      </c>
      <c r="F63" s="11" t="str">
        <f>VLOOKUP(D63,'[1]DATA BASE SANTRI'!$C$91:$E$513,3,FALSE)</f>
        <v>2A</v>
      </c>
    </row>
    <row r="64" spans="1:6" ht="15.6" x14ac:dyDescent="0.3">
      <c r="A64" s="43"/>
      <c r="B64" s="7">
        <v>3</v>
      </c>
      <c r="C64" s="8">
        <v>3</v>
      </c>
      <c r="D64" s="9">
        <v>2360</v>
      </c>
      <c r="E64" s="10" t="str">
        <f>VLOOKUP(D64,'[1]DATA BASE SANTRI'!$C$91:$E$513,2,FALSE)</f>
        <v>Grizelle Janitra Balishaki</v>
      </c>
      <c r="F64" s="11" t="str">
        <f>VLOOKUP(D64,'[1]DATA BASE SANTRI'!$C$91:$E$513,3,FALSE)</f>
        <v>2A</v>
      </c>
    </row>
    <row r="65" spans="1:6" ht="15.6" x14ac:dyDescent="0.3">
      <c r="A65" s="43"/>
      <c r="B65" s="13">
        <v>4</v>
      </c>
      <c r="C65" s="8">
        <v>4</v>
      </c>
      <c r="D65" s="9">
        <v>2340</v>
      </c>
      <c r="E65" s="10" t="str">
        <f>VLOOKUP(D65,'[1]DATA BASE SANTRI'!$C$91:$E$513,2,FALSE)</f>
        <v>Arshaka Elfathan Syahmi</v>
      </c>
      <c r="F65" s="11" t="str">
        <f>VLOOKUP(D65,'[1]DATA BASE SANTRI'!$C$91:$E$513,3,FALSE)</f>
        <v>2A</v>
      </c>
    </row>
    <row r="66" spans="1:6" ht="15.6" x14ac:dyDescent="0.3">
      <c r="A66" s="43"/>
      <c r="B66" s="7">
        <v>5</v>
      </c>
      <c r="C66" s="8">
        <v>5</v>
      </c>
      <c r="D66" s="9">
        <v>2351</v>
      </c>
      <c r="E66" s="10" t="str">
        <f>VLOOKUP(D66,'[1]DATA BASE SANTRI'!$C$91:$E$513,2,FALSE)</f>
        <v>Cleona Dhianada Keshwari</v>
      </c>
      <c r="F66" s="11" t="str">
        <f>VLOOKUP(D66,'[1]DATA BASE SANTRI'!$C$91:$E$513,3,FALSE)</f>
        <v>2A</v>
      </c>
    </row>
    <row r="67" spans="1:6" ht="15.6" x14ac:dyDescent="0.3">
      <c r="A67" s="43"/>
      <c r="B67" s="13">
        <v>6</v>
      </c>
      <c r="C67" s="12">
        <v>6</v>
      </c>
      <c r="D67" s="9">
        <v>2355</v>
      </c>
      <c r="E67" s="10" t="str">
        <f>VLOOKUP(D67,'[1]DATA BASE SANTRI'!$C$91:$E$513,2,FALSE)</f>
        <v>Faizia Aqueensha Aysha Chandra</v>
      </c>
      <c r="F67" s="11" t="str">
        <f>VLOOKUP(D67,'[1]DATA BASE SANTRI'!$C$91:$E$513,3,FALSE)</f>
        <v>2A</v>
      </c>
    </row>
    <row r="68" spans="1:6" ht="15.6" x14ac:dyDescent="0.3">
      <c r="A68" s="43"/>
      <c r="B68" s="7">
        <v>7</v>
      </c>
      <c r="C68" s="8">
        <v>7</v>
      </c>
      <c r="D68" s="9">
        <v>2405</v>
      </c>
      <c r="E68" s="10" t="str">
        <f>VLOOKUP(D68,'[1]DATA BASE SANTRI'!$C$91:$E$513,2,FALSE)</f>
        <v>Qotrunnada Salsabila Ahmad</v>
      </c>
      <c r="F68" s="11" t="str">
        <f>VLOOKUP(D68,'[1]DATA BASE SANTRI'!$C$91:$E$513,3,FALSE)</f>
        <v>2A</v>
      </c>
    </row>
    <row r="69" spans="1:6" ht="15.6" x14ac:dyDescent="0.3">
      <c r="A69" s="43"/>
      <c r="B69" s="13">
        <v>8</v>
      </c>
      <c r="C69" s="8">
        <v>8</v>
      </c>
      <c r="D69" s="14">
        <v>2363</v>
      </c>
      <c r="E69" s="10" t="str">
        <f>VLOOKUP(D69,'[1]DATA BASE SANTRI'!$C$91:$E$513,2,FALSE)</f>
        <v>Kaisara Mikayla Mecca</v>
      </c>
      <c r="F69" s="11" t="str">
        <f>VLOOKUP(D69,'[1]DATA BASE SANTRI'!$C$91:$E$513,3,FALSE)</f>
        <v>2B</v>
      </c>
    </row>
    <row r="70" spans="1:6" ht="15.6" x14ac:dyDescent="0.3">
      <c r="A70" s="43"/>
      <c r="B70" s="7">
        <v>9</v>
      </c>
      <c r="C70" s="8">
        <v>9</v>
      </c>
      <c r="D70" s="14">
        <v>2378</v>
      </c>
      <c r="E70" s="10" t="str">
        <f>VLOOKUP(D70,'[1]DATA BASE SANTRI'!$C$91:$E$513,2,FALSE)</f>
        <v>Makaira Azalea Telata</v>
      </c>
      <c r="F70" s="11" t="str">
        <f>VLOOKUP(D70,'[1]DATA BASE SANTRI'!$C$91:$E$513,3,FALSE)</f>
        <v>2B</v>
      </c>
    </row>
    <row r="71" spans="1:6" ht="15.6" x14ac:dyDescent="0.3">
      <c r="A71" s="43"/>
      <c r="B71" s="13">
        <v>10</v>
      </c>
      <c r="C71" s="12">
        <v>10</v>
      </c>
      <c r="D71" s="14">
        <v>2409</v>
      </c>
      <c r="E71" s="10" t="str">
        <f>VLOOKUP(D71,'[1]DATA BASE SANTRI'!$C$91:$E$513,2,FALSE)</f>
        <v>Rumy Sarahza Sulthoni</v>
      </c>
      <c r="F71" s="11" t="str">
        <f>VLOOKUP(D71,'[1]DATA BASE SANTRI'!$C$91:$E$513,3,FALSE)</f>
        <v>2B</v>
      </c>
    </row>
    <row r="72" spans="1:6" ht="15.6" x14ac:dyDescent="0.3">
      <c r="A72" s="43"/>
      <c r="B72" s="7">
        <v>11</v>
      </c>
      <c r="C72" s="8">
        <v>11</v>
      </c>
      <c r="D72" s="18">
        <v>2364</v>
      </c>
      <c r="E72" s="10" t="str">
        <f>VLOOKUP(D72,'[1]DATA BASE SANTRI'!$C$91:$E$513,2,FALSE)</f>
        <v>Kaldera Bening Suharjadi</v>
      </c>
      <c r="F72" s="11" t="str">
        <f>VLOOKUP(D72,'[1]DATA BASE SANTRI'!$C$91:$E$513,3,FALSE)</f>
        <v>2C</v>
      </c>
    </row>
    <row r="73" spans="1:6" ht="15.6" x14ac:dyDescent="0.3">
      <c r="A73" s="43"/>
      <c r="B73" s="13">
        <v>12</v>
      </c>
      <c r="C73" s="8">
        <v>12</v>
      </c>
      <c r="D73" s="18">
        <v>2365</v>
      </c>
      <c r="E73" s="10" t="str">
        <f>VLOOKUP(D73,'[1]DATA BASE SANTRI'!$C$91:$E$513,2,FALSE)</f>
        <v>Kanasya Qiandra El Shanum</v>
      </c>
      <c r="F73" s="11" t="str">
        <f>VLOOKUP(D73,'[1]DATA BASE SANTRI'!$C$91:$E$513,3,FALSE)</f>
        <v>2C</v>
      </c>
    </row>
    <row r="74" spans="1:6" ht="15.6" x14ac:dyDescent="0.3">
      <c r="A74" s="43"/>
      <c r="B74" s="7">
        <v>13</v>
      </c>
      <c r="C74" s="8">
        <v>13</v>
      </c>
      <c r="D74" s="18">
        <v>2376</v>
      </c>
      <c r="E74" s="10" t="str">
        <f>VLOOKUP(D74,'[1]DATA BASE SANTRI'!$C$91:$E$513,2,FALSE)</f>
        <v>Mafaza Hilya Heninda Putri</v>
      </c>
      <c r="F74" s="11" t="str">
        <f>VLOOKUP(D74,'[1]DATA BASE SANTRI'!$C$91:$E$513,3,FALSE)</f>
        <v>2C</v>
      </c>
    </row>
    <row r="75" spans="1:6" ht="15.6" x14ac:dyDescent="0.3">
      <c r="A75" s="43"/>
      <c r="B75" s="13">
        <v>14</v>
      </c>
      <c r="C75" s="12">
        <v>14</v>
      </c>
      <c r="D75" s="14">
        <v>2413</v>
      </c>
      <c r="E75" s="10" t="str">
        <f>VLOOKUP(D75,'[1]DATA BASE SANTRI'!$C$91:$E$513,2,FALSE)</f>
        <v>Shafeeya Hafshah Arafat</v>
      </c>
      <c r="F75" s="11" t="str">
        <f>VLOOKUP(D75,'[1]DATA BASE SANTRI'!$C$91:$E$513,3,FALSE)</f>
        <v>2C</v>
      </c>
    </row>
    <row r="76" spans="1:6" ht="15.6" x14ac:dyDescent="0.3">
      <c r="A76" s="43"/>
      <c r="B76" s="7">
        <v>15</v>
      </c>
      <c r="C76" s="8">
        <v>15</v>
      </c>
      <c r="D76" s="14">
        <v>2291</v>
      </c>
      <c r="E76" s="10" t="str">
        <f>VLOOKUP(D76,'[1]DATA BASE SANTRI'!$C$91:$E$513,2,FALSE)</f>
        <v>Muhammad Faisal Haq</v>
      </c>
      <c r="F76" s="11" t="str">
        <f>VLOOKUP(D76,'[1]DATA BASE SANTRI'!$C$91:$E$513,3,FALSE)</f>
        <v>3B</v>
      </c>
    </row>
    <row r="77" spans="1:6" ht="15.6" x14ac:dyDescent="0.3">
      <c r="A77" s="43"/>
      <c r="B77" s="13">
        <v>16</v>
      </c>
      <c r="C77" s="8">
        <v>16</v>
      </c>
      <c r="D77" s="14">
        <v>2143</v>
      </c>
      <c r="E77" s="10" t="str">
        <f>VLOOKUP(D77,'[1]DATA BASE SANTRI'!$C$91:$E$513,2,FALSE)</f>
        <v>Al' Rhasya Ramadhany A.M.</v>
      </c>
      <c r="F77" s="11" t="str">
        <f>VLOOKUP(D77,'[1]DATA BASE SANTRI'!$C$91:$E$513,3,FALSE)</f>
        <v>4A</v>
      </c>
    </row>
    <row r="78" spans="1:6" ht="15.6" x14ac:dyDescent="0.3">
      <c r="A78" s="43"/>
      <c r="B78" s="7">
        <v>17</v>
      </c>
      <c r="C78" s="8">
        <v>17</v>
      </c>
      <c r="D78" s="14">
        <v>2201</v>
      </c>
      <c r="E78" s="10" t="str">
        <f>VLOOKUP(D78,'[1]DATA BASE SANTRI'!$C$91:$E$513,2,FALSE)</f>
        <v>Prabu Atalah Achmad</v>
      </c>
      <c r="F78" s="11" t="str">
        <f>VLOOKUP(D78,'[1]DATA BASE SANTRI'!$C$91:$E$513,3,FALSE)</f>
        <v>4A</v>
      </c>
    </row>
    <row r="79" spans="1:6" ht="15.6" x14ac:dyDescent="0.3">
      <c r="A79" s="43"/>
      <c r="B79" s="13">
        <v>18</v>
      </c>
      <c r="C79" s="8">
        <v>1</v>
      </c>
      <c r="D79" s="14">
        <v>2359</v>
      </c>
      <c r="E79" s="10" t="str">
        <f>VLOOKUP(D79,'[1]DATA BASE SANTRI'!$C$91:$E$513,2,FALSE)</f>
        <v xml:space="preserve">Ghania Zaheen Alesha </v>
      </c>
      <c r="F79" s="11" t="str">
        <f>VLOOKUP(D79,'[1]DATA BASE SANTRI'!$C$91:$E$513,3,FALSE)</f>
        <v>2A</v>
      </c>
    </row>
    <row r="80" spans="1:6" ht="15.6" x14ac:dyDescent="0.3">
      <c r="A80" s="43"/>
      <c r="B80" s="7">
        <v>19</v>
      </c>
      <c r="C80" s="12">
        <v>2</v>
      </c>
      <c r="D80" s="14">
        <v>2384</v>
      </c>
      <c r="E80" s="10" t="str">
        <f>VLOOKUP(D80,'[1]DATA BASE SANTRI'!$C$91:$E$513,2,FALSE)</f>
        <v>Muhammad Abizhar Elghurri</v>
      </c>
      <c r="F80" s="11" t="str">
        <f>VLOOKUP(D80,'[1]DATA BASE SANTRI'!$C$91:$E$513,3,FALSE)</f>
        <v>2A</v>
      </c>
    </row>
    <row r="81" spans="1:6" ht="15.6" x14ac:dyDescent="0.3">
      <c r="A81" s="43"/>
      <c r="B81" s="13">
        <v>20</v>
      </c>
      <c r="C81" s="8">
        <v>3</v>
      </c>
      <c r="D81" s="14">
        <v>2385</v>
      </c>
      <c r="E81" s="10" t="str">
        <f>VLOOKUP(D81,'[1]DATA BASE SANTRI'!$C$91:$E$513,2,FALSE)</f>
        <v>Muhammad Arsyad Amirullah Madjid</v>
      </c>
      <c r="F81" s="11" t="str">
        <f>VLOOKUP(D81,'[1]DATA BASE SANTRI'!$C$91:$E$513,3,FALSE)</f>
        <v>2A</v>
      </c>
    </row>
    <row r="82" spans="1:6" ht="15.6" x14ac:dyDescent="0.3">
      <c r="A82" s="43"/>
      <c r="B82" s="7">
        <v>21</v>
      </c>
      <c r="C82" s="12">
        <v>4</v>
      </c>
      <c r="D82" s="14">
        <v>2397</v>
      </c>
      <c r="E82" s="10" t="str">
        <f>VLOOKUP(D82,'[1]DATA BASE SANTRI'!$C$91:$E$513,2,FALSE)</f>
        <v>Muhammad Shankara Syailendra</v>
      </c>
      <c r="F82" s="11" t="str">
        <f>VLOOKUP(D82,'[1]DATA BASE SANTRI'!$C$91:$E$513,3,FALSE)</f>
        <v>2B</v>
      </c>
    </row>
    <row r="83" spans="1:6" ht="15.6" x14ac:dyDescent="0.3">
      <c r="A83" s="43"/>
      <c r="B83" s="13">
        <v>22</v>
      </c>
      <c r="C83" s="12">
        <v>5</v>
      </c>
      <c r="D83" s="19">
        <v>2341</v>
      </c>
      <c r="E83" s="10" t="str">
        <f>VLOOKUP(D83,'[1]DATA BASE SANTRI'!$C$91:$E$513,2,FALSE)</f>
        <v>Arsyila Azmariza Yudisnia</v>
      </c>
      <c r="F83" s="11" t="str">
        <f>VLOOKUP(D83,'[1]DATA BASE SANTRI'!$C$91:$E$513,3,FALSE)</f>
        <v>2B</v>
      </c>
    </row>
    <row r="84" spans="1:6" ht="15.6" x14ac:dyDescent="0.3">
      <c r="A84" s="43"/>
      <c r="B84" s="7">
        <v>23</v>
      </c>
      <c r="C84" s="8">
        <v>6</v>
      </c>
      <c r="D84" s="14">
        <v>2387</v>
      </c>
      <c r="E84" s="10" t="str">
        <f>VLOOKUP(D84,'[1]DATA BASE SANTRI'!$C$91:$E$513,2,FALSE)</f>
        <v>Muhammad Dimar Nusantara</v>
      </c>
      <c r="F84" s="11" t="str">
        <f>VLOOKUP(D84,'[1]DATA BASE SANTRI'!$C$91:$E$513,3,FALSE)</f>
        <v>2C</v>
      </c>
    </row>
    <row r="85" spans="1:6" ht="15.6" x14ac:dyDescent="0.3">
      <c r="A85" s="43"/>
      <c r="B85" s="13">
        <v>24</v>
      </c>
      <c r="C85" s="12">
        <v>7</v>
      </c>
      <c r="D85" s="14">
        <v>2390</v>
      </c>
      <c r="E85" s="10" t="str">
        <f>VLOOKUP(D85,'[1]DATA BASE SANTRI'!$C$91:$E$513,2,FALSE)</f>
        <v>Muhammad Fino Ramadhani</v>
      </c>
      <c r="F85" s="11" t="str">
        <f>VLOOKUP(D85,'[1]DATA BASE SANTRI'!$C$91:$E$513,3,FALSE)</f>
        <v>2C</v>
      </c>
    </row>
    <row r="86" spans="1:6" ht="15.6" x14ac:dyDescent="0.3">
      <c r="A86" s="43"/>
      <c r="B86" s="7">
        <v>25</v>
      </c>
      <c r="C86" s="12">
        <v>8</v>
      </c>
      <c r="D86" s="9">
        <v>2403</v>
      </c>
      <c r="E86" s="10" t="str">
        <f>VLOOKUP(D86,'[1]DATA BASE SANTRI'!$C$91:$E$513,2,FALSE)</f>
        <v>Nizam Al Faruq</v>
      </c>
      <c r="F86" s="11" t="str">
        <f>VLOOKUP(D86,'[1]DATA BASE SANTRI'!$C$91:$E$513,3,FALSE)</f>
        <v>2C</v>
      </c>
    </row>
    <row r="87" spans="1:6" ht="15.6" x14ac:dyDescent="0.3">
      <c r="A87" s="43"/>
      <c r="B87" s="13">
        <v>26</v>
      </c>
      <c r="C87" s="8">
        <v>9</v>
      </c>
      <c r="D87" s="9">
        <v>2410</v>
      </c>
      <c r="E87" s="10" t="str">
        <f>VLOOKUP(D87,'[1]DATA BASE SANTRI'!$C$91:$E$513,2,FALSE)</f>
        <v>Sabria Hazna Zahrany</v>
      </c>
      <c r="F87" s="11" t="str">
        <f>VLOOKUP(D87,'[1]DATA BASE SANTRI'!$C$91:$E$513,3,FALSE)</f>
        <v>2C</v>
      </c>
    </row>
    <row r="88" spans="1:6" ht="15.6" x14ac:dyDescent="0.3">
      <c r="A88" s="43"/>
      <c r="B88" s="7">
        <v>27</v>
      </c>
      <c r="C88" s="12">
        <v>10</v>
      </c>
      <c r="D88" s="14">
        <v>2379</v>
      </c>
      <c r="E88" s="10" t="str">
        <f>VLOOKUP(D88,'[1]DATA BASE SANTRI'!$C$91:$E$513,2,FALSE)</f>
        <v>Maulana Zhafir Akbar Firdaus</v>
      </c>
      <c r="F88" s="11" t="str">
        <f>VLOOKUP(D88,'[1]DATA BASE SANTRI'!$C$91:$E$513,3,FALSE)</f>
        <v>2C</v>
      </c>
    </row>
    <row r="89" spans="1:6" ht="15.6" x14ac:dyDescent="0.3">
      <c r="A89" s="43"/>
      <c r="B89" s="13">
        <v>28</v>
      </c>
      <c r="C89" s="12">
        <v>11</v>
      </c>
      <c r="D89" s="14">
        <v>2258</v>
      </c>
      <c r="E89" s="10" t="str">
        <f>VLOOKUP(D89,'[1]DATA BASE SANTRI'!$C$91:$E$513,2,FALSE)</f>
        <v>Celsa Ezora Frandiansyah</v>
      </c>
      <c r="F89" s="11" t="str">
        <f>VLOOKUP(D89,'[1]DATA BASE SANTRI'!$C$91:$E$513,3,FALSE)</f>
        <v>3C</v>
      </c>
    </row>
    <row r="90" spans="1:6" ht="15.6" x14ac:dyDescent="0.3">
      <c r="A90" s="43"/>
      <c r="B90" s="7">
        <v>29</v>
      </c>
      <c r="C90" s="8">
        <v>12</v>
      </c>
      <c r="D90" s="14">
        <v>2321</v>
      </c>
      <c r="E90" s="10" t="str">
        <f>VLOOKUP(D90,'[1]DATA BASE SANTRI'!$C$91:$E$513,2,FALSE)</f>
        <v>Zuhdan Noer Hakeem</v>
      </c>
      <c r="F90" s="11" t="str">
        <f>VLOOKUP(D90,'[1]DATA BASE SANTRI'!$C$91:$E$513,3,FALSE)</f>
        <v>3C</v>
      </c>
    </row>
    <row r="91" spans="1:6" ht="15.6" x14ac:dyDescent="0.3">
      <c r="A91" s="43"/>
      <c r="B91" s="13">
        <v>30</v>
      </c>
      <c r="C91" s="12">
        <v>13</v>
      </c>
      <c r="D91" s="14">
        <v>2209</v>
      </c>
      <c r="E91" s="10" t="str">
        <f>VLOOKUP(D91,'[1]DATA BASE SANTRI'!$C$91:$E$513,2,FALSE)</f>
        <v>Rayner Akbar Nabel</v>
      </c>
      <c r="F91" s="11" t="str">
        <f>VLOOKUP(D91,'[1]DATA BASE SANTRI'!$C$91:$E$513,3,FALSE)</f>
        <v>4A</v>
      </c>
    </row>
    <row r="92" spans="1:6" ht="15.6" x14ac:dyDescent="0.3">
      <c r="A92" s="43"/>
      <c r="B92" s="7">
        <v>31</v>
      </c>
      <c r="C92" s="12">
        <v>14</v>
      </c>
      <c r="D92" s="14">
        <v>2322</v>
      </c>
      <c r="E92" s="10" t="str">
        <f>VLOOKUP(D92,'[1]DATA BASE SANTRI'!$C$91:$E$513,2,FALSE)</f>
        <v xml:space="preserve">Nur Rofiah </v>
      </c>
      <c r="F92" s="11" t="str">
        <f>VLOOKUP(D92,'[1]DATA BASE SANTRI'!$C$91:$E$513,3,FALSE)</f>
        <v>4A</v>
      </c>
    </row>
    <row r="93" spans="1:6" ht="15.6" x14ac:dyDescent="0.3">
      <c r="A93" s="43"/>
      <c r="B93" s="13">
        <v>32</v>
      </c>
      <c r="C93" s="8">
        <v>15</v>
      </c>
      <c r="D93" s="14">
        <v>2138</v>
      </c>
      <c r="E93" s="10" t="str">
        <f>VLOOKUP(D93,'[1]DATA BASE SANTRI'!$C$91:$E$513,2,FALSE)</f>
        <v>Adreena Farisa Wulandari</v>
      </c>
      <c r="F93" s="11" t="str">
        <f>VLOOKUP(D93,'[1]DATA BASE SANTRI'!$C$91:$E$513,3,FALSE)</f>
        <v>4B</v>
      </c>
    </row>
    <row r="94" spans="1:6" ht="15.6" x14ac:dyDescent="0.3">
      <c r="A94" s="43"/>
      <c r="B94" s="7">
        <v>33</v>
      </c>
      <c r="C94" s="12">
        <v>16</v>
      </c>
      <c r="D94" s="14">
        <v>2121</v>
      </c>
      <c r="E94" s="10" t="str">
        <f>VLOOKUP(D94,'[1]DATA BASE SANTRI'!$C$91:$E$513,2,FALSE)</f>
        <v>Uwais Al Qorni</v>
      </c>
      <c r="F94" s="11" t="str">
        <f>VLOOKUP(D94,'[1]DATA BASE SANTRI'!$C$91:$E$513,3,FALSE)</f>
        <v>5B</v>
      </c>
    </row>
    <row r="95" spans="1:6" ht="15.6" x14ac:dyDescent="0.3">
      <c r="A95" s="43"/>
      <c r="B95" s="13">
        <v>34</v>
      </c>
      <c r="C95" s="12"/>
      <c r="D95" s="14">
        <v>2419</v>
      </c>
      <c r="E95" s="10" t="str">
        <f>VLOOKUP(D95,'[1]DATA BASE SANTRI'!$C$3:$E$513,2,FALSE)</f>
        <v>ABDURRAHMAN ADDAKHIL</v>
      </c>
      <c r="F95" s="11" t="str">
        <f>VLOOKUP(D95,'[1]DATA BASE SANTRI'!C3:E513,3,FALSE)</f>
        <v>1A</v>
      </c>
    </row>
    <row r="96" spans="1:6" ht="15.6" x14ac:dyDescent="0.3">
      <c r="A96" s="43"/>
      <c r="B96" s="7">
        <v>35</v>
      </c>
      <c r="C96" s="12"/>
      <c r="D96" s="14">
        <v>2426</v>
      </c>
      <c r="E96" s="10" t="str">
        <f>VLOOKUP(D96,'[1]DATA BASE SANTRI'!$C$3:$E$513,2,FALSE)</f>
        <v>ALEISHA CLEMIRA RACHMAN</v>
      </c>
      <c r="F96" s="11" t="str">
        <f>VLOOKUP(D96,'[1]DATA BASE SANTRI'!C4:E514,3,FALSE)</f>
        <v>1A</v>
      </c>
    </row>
    <row r="97" spans="1:6" ht="15.6" x14ac:dyDescent="0.3">
      <c r="A97" s="43"/>
      <c r="B97" s="13">
        <v>36</v>
      </c>
      <c r="C97" s="12"/>
      <c r="D97" s="14">
        <v>2434</v>
      </c>
      <c r="E97" s="10" t="str">
        <f>VLOOKUP(D97,'[1]DATA BASE SANTRI'!$C$3:$E$513,2,FALSE)</f>
        <v>AQILA PUTRI MEI RAMADHANI</v>
      </c>
      <c r="F97" s="11" t="str">
        <f>VLOOKUP(D97,'[1]DATA BASE SANTRI'!C5:E515,3,FALSE)</f>
        <v>1A</v>
      </c>
    </row>
    <row r="98" spans="1:6" ht="15.6" x14ac:dyDescent="0.3">
      <c r="A98" s="43"/>
      <c r="B98" s="7">
        <v>37</v>
      </c>
      <c r="C98" s="12"/>
      <c r="D98" s="14">
        <v>2441</v>
      </c>
      <c r="E98" s="10" t="str">
        <f>VLOOKUP(D98,'[1]DATA BASE SANTRI'!$C$3:$E$513,2,FALSE)</f>
        <v>BARRA ARKANANTA SHANKARA</v>
      </c>
      <c r="F98" s="11" t="str">
        <f>VLOOKUP(D98,'[1]DATA BASE SANTRI'!C6:E516,3,FALSE)</f>
        <v>1A</v>
      </c>
    </row>
    <row r="99" spans="1:6" ht="15.6" x14ac:dyDescent="0.3">
      <c r="A99" s="43"/>
      <c r="B99" s="13">
        <v>38</v>
      </c>
      <c r="C99" s="12"/>
      <c r="D99" s="14">
        <v>2447</v>
      </c>
      <c r="E99" s="10" t="str">
        <f>VLOOKUP(D99,'[1]DATA BASE SANTRI'!$C$3:$E$513,2,FALSE)</f>
        <v>DIPA GIBRAN AR-RAHMAH</v>
      </c>
      <c r="F99" s="11" t="str">
        <f>VLOOKUP(D99,'[1]DATA BASE SANTRI'!C7:E517,3,FALSE)</f>
        <v>1A</v>
      </c>
    </row>
    <row r="100" spans="1:6" ht="15.6" x14ac:dyDescent="0.3">
      <c r="A100" s="43"/>
      <c r="B100" s="7">
        <v>39</v>
      </c>
      <c r="C100" s="12"/>
      <c r="D100" s="14">
        <v>2461</v>
      </c>
      <c r="E100" s="10" t="str">
        <f>VLOOKUP(D100,'[1]DATA BASE SANTRI'!$C$3:$E$513,2,FALSE)</f>
        <v>IZQIAN AZZAMIR ROHMAN</v>
      </c>
      <c r="F100" s="11" t="str">
        <f>VLOOKUP(D100,'[1]DATA BASE SANTRI'!C8:E518,3,FALSE)</f>
        <v>1A</v>
      </c>
    </row>
    <row r="101" spans="1:6" ht="15.6" x14ac:dyDescent="0.3">
      <c r="A101" s="43"/>
      <c r="B101" s="13">
        <v>40</v>
      </c>
      <c r="C101" s="12"/>
      <c r="D101" s="14">
        <v>2468</v>
      </c>
      <c r="E101" s="10" t="str">
        <f>VLOOKUP(D101,'[1]DATA BASE SANTRI'!$C$3:$E$513,2,FALSE)</f>
        <v>MALCAFANI CLEMIRAGHDA ALESHAFFA RYSEAN</v>
      </c>
      <c r="F101" s="11" t="str">
        <f>VLOOKUP(D101,'[1]DATA BASE SANTRI'!C9:E519,3,FALSE)</f>
        <v>1A</v>
      </c>
    </row>
    <row r="102" spans="1:6" ht="15.6" x14ac:dyDescent="0.3">
      <c r="A102" s="43"/>
      <c r="B102" s="7">
        <v>41</v>
      </c>
      <c r="C102" s="12"/>
      <c r="D102" s="14">
        <v>2487</v>
      </c>
      <c r="E102" s="10" t="str">
        <f>VLOOKUP(D102,'[1]DATA BASE SANTRI'!$C$3:$E$513,2,FALSE)</f>
        <v>QIANA BASSAM NAFLAH</v>
      </c>
      <c r="F102" s="11" t="str">
        <f>VLOOKUP(D102,'[1]DATA BASE SANTRI'!C10:E520,3,FALSE)</f>
        <v>1A</v>
      </c>
    </row>
    <row r="103" spans="1:6" ht="15.6" x14ac:dyDescent="0.3">
      <c r="A103" s="43"/>
      <c r="B103" s="13">
        <v>42</v>
      </c>
      <c r="C103" s="12"/>
      <c r="D103" s="14">
        <v>2499</v>
      </c>
      <c r="E103" s="10" t="str">
        <f>VLOOKUP(D103,'[1]DATA BASE SANTRI'!$C$3:$E$513,2,FALSE)</f>
        <v>SAFIRA AULIA NISA</v>
      </c>
      <c r="F103" s="11" t="str">
        <f>VLOOKUP(D103,'[1]DATA BASE SANTRI'!C11:E521,3,FALSE)</f>
        <v>1A</v>
      </c>
    </row>
    <row r="104" spans="1:6" ht="15.6" x14ac:dyDescent="0.3">
      <c r="A104" s="43"/>
      <c r="B104" s="7">
        <v>43</v>
      </c>
      <c r="C104" s="12"/>
      <c r="D104" s="14">
        <v>2445</v>
      </c>
      <c r="E104" s="10" t="str">
        <f>VLOOKUP(D104,'[1]DATA BASE SANTRI'!$C$3:$E$513,2,FALSE)</f>
        <v>CLEMIRA PUTRI VIDIANSAH</v>
      </c>
      <c r="F104" s="11" t="str">
        <f>VLOOKUP(D104,'[1]DATA BASE SANTRI'!C12:E522,3,FALSE)</f>
        <v>1B</v>
      </c>
    </row>
    <row r="105" spans="1:6" ht="15.6" x14ac:dyDescent="0.3">
      <c r="A105" s="43"/>
      <c r="B105" s="13">
        <v>44</v>
      </c>
      <c r="C105" s="12"/>
      <c r="D105" s="14">
        <v>2448</v>
      </c>
      <c r="E105" s="10" t="str">
        <f>VLOOKUP(D105,'[1]DATA BASE SANTRI'!$C$3:$E$513,2,FALSE)</f>
        <v>DZAKIRA TISHA ARROKHMAN</v>
      </c>
      <c r="F105" s="11" t="str">
        <f>VLOOKUP(D105,'[1]DATA BASE SANTRI'!C13:E523,3,FALSE)</f>
        <v>1B</v>
      </c>
    </row>
    <row r="106" spans="1:6" ht="15.6" x14ac:dyDescent="0.3">
      <c r="A106" s="43"/>
      <c r="B106" s="7">
        <v>45</v>
      </c>
      <c r="C106" s="12"/>
      <c r="D106" s="14">
        <v>2455</v>
      </c>
      <c r="E106" s="10" t="str">
        <f>VLOOKUP(D106,'[1]DATA BASE SANTRI'!$C$3:$E$513,2,FALSE)</f>
        <v>GHANIA FARZANA KHALISA</v>
      </c>
      <c r="F106" s="11" t="str">
        <f>VLOOKUP(D106,'[1]DATA BASE SANTRI'!C14:E524,3,FALSE)</f>
        <v>1B</v>
      </c>
    </row>
    <row r="107" spans="1:6" ht="15.6" x14ac:dyDescent="0.3">
      <c r="A107" s="43"/>
      <c r="B107" s="13">
        <v>46</v>
      </c>
      <c r="C107" s="12"/>
      <c r="D107" s="14">
        <v>2459</v>
      </c>
      <c r="E107" s="10" t="str">
        <f>VLOOKUP(D107,'[1]DATA BASE SANTRI'!$C$3:$E$513,2,FALSE)</f>
        <v>HUSNA ZAKIYA RAMADANI</v>
      </c>
      <c r="F107" s="11" t="str">
        <f>VLOOKUP(D107,'[1]DATA BASE SANTRI'!C15:E525,3,FALSE)</f>
        <v>1B</v>
      </c>
    </row>
    <row r="108" spans="1:6" ht="15.6" x14ac:dyDescent="0.3">
      <c r="A108" s="43"/>
      <c r="B108" s="7">
        <v>47</v>
      </c>
      <c r="C108" s="12"/>
      <c r="D108" s="14">
        <v>2466</v>
      </c>
      <c r="E108" s="10" t="str">
        <f>VLOOKUP(D108,'[1]DATA BASE SANTRI'!$C$3:$E$513,2,FALSE)</f>
        <v>KHALID KIRAN PUTRA PRASETYO</v>
      </c>
      <c r="F108" s="11" t="str">
        <f>VLOOKUP(D108,'[1]DATA BASE SANTRI'!C16:E526,3,FALSE)</f>
        <v>1B</v>
      </c>
    </row>
    <row r="109" spans="1:6" ht="15.6" x14ac:dyDescent="0.3">
      <c r="A109" s="43"/>
      <c r="B109" s="13">
        <v>48</v>
      </c>
      <c r="C109" s="12"/>
      <c r="D109" s="14">
        <v>2469</v>
      </c>
      <c r="E109" s="10" t="str">
        <f>VLOOKUP(D109,'[1]DATA BASE SANTRI'!$C$3:$E$513,2,FALSE)</f>
        <v>MIKAYLA AYESHA ADARA NINGRUM</v>
      </c>
      <c r="F109" s="11" t="str">
        <f>VLOOKUP(D109,'[1]DATA BASE SANTRI'!C17:E527,3,FALSE)</f>
        <v>1B</v>
      </c>
    </row>
    <row r="110" spans="1:6" ht="15.6" x14ac:dyDescent="0.3">
      <c r="A110" s="43"/>
      <c r="B110" s="7">
        <v>49</v>
      </c>
      <c r="C110" s="12"/>
      <c r="D110" s="14">
        <v>2472</v>
      </c>
      <c r="E110" s="10" t="str">
        <f>VLOOKUP(D110,'[1]DATA BASE SANTRI'!$C$3:$E$513,2,FALSE)</f>
        <v>MUHAMMAD DZAKI FATHIAN ALFARIZI</v>
      </c>
      <c r="F110" s="11" t="str">
        <f>VLOOKUP(D110,'[1]DATA BASE SANTRI'!C18:E528,3,FALSE)</f>
        <v>1B</v>
      </c>
    </row>
    <row r="111" spans="1:6" ht="15.6" x14ac:dyDescent="0.3">
      <c r="A111" s="43"/>
      <c r="B111" s="13">
        <v>50</v>
      </c>
      <c r="C111" s="12"/>
      <c r="D111" s="14">
        <v>2485</v>
      </c>
      <c r="E111" s="10" t="str">
        <f>VLOOKUP(D111,'[1]DATA BASE SANTRI'!$C$3:$E$513,2,FALSE)</f>
        <v>NAVISHA SHABIRA REENA</v>
      </c>
      <c r="F111" s="11" t="str">
        <f>VLOOKUP(D111,'[1]DATA BASE SANTRI'!C19:E529,3,FALSE)</f>
        <v>1B</v>
      </c>
    </row>
    <row r="112" spans="1:6" ht="15.6" x14ac:dyDescent="0.3">
      <c r="A112" s="43"/>
      <c r="B112" s="7">
        <v>51</v>
      </c>
      <c r="C112" s="12"/>
      <c r="D112" s="14">
        <v>2488</v>
      </c>
      <c r="E112" s="10" t="str">
        <f>VLOOKUP(D112,'[1]DATA BASE SANTRI'!$C$3:$E$513,2,FALSE)</f>
        <v>QUINSHA AZALEA PUTRI HADI</v>
      </c>
      <c r="F112" s="11" t="str">
        <f>VLOOKUP(D112,'[1]DATA BASE SANTRI'!C20:E530,3,FALSE)</f>
        <v>1B</v>
      </c>
    </row>
    <row r="113" spans="1:6" ht="15.6" x14ac:dyDescent="0.3">
      <c r="A113" s="43"/>
      <c r="B113" s="13">
        <v>52</v>
      </c>
      <c r="C113" s="12"/>
      <c r="D113" s="14">
        <v>2490</v>
      </c>
      <c r="E113" s="10" t="str">
        <f>VLOOKUP(D113,'[1]DATA BASE SANTRI'!$C$3:$E$513,2,FALSE)</f>
        <v>RAFAEYZA RAMADHIKA CHANDRA</v>
      </c>
      <c r="F113" s="11" t="str">
        <f>VLOOKUP(D113,'[1]DATA BASE SANTRI'!C21:E531,3,FALSE)</f>
        <v>1B</v>
      </c>
    </row>
    <row r="114" spans="1:6" ht="15.6" x14ac:dyDescent="0.3">
      <c r="A114" s="43"/>
      <c r="B114" s="7">
        <v>53</v>
      </c>
      <c r="C114" s="12"/>
      <c r="D114" s="14">
        <v>2498</v>
      </c>
      <c r="E114" s="10" t="str">
        <f>VLOOKUP(D114,'[1]DATA BASE SANTRI'!$C$3:$E$513,2,FALSE)</f>
        <v>SABHIRA RUBINA ALZAN</v>
      </c>
      <c r="F114" s="11" t="str">
        <f>VLOOKUP(D114,'[1]DATA BASE SANTRI'!C22:E532,3,FALSE)</f>
        <v>1B</v>
      </c>
    </row>
    <row r="115" spans="1:6" ht="15.6" x14ac:dyDescent="0.3">
      <c r="A115" s="43"/>
      <c r="B115" s="13">
        <v>54</v>
      </c>
      <c r="C115" s="12"/>
      <c r="D115" s="14">
        <v>2437</v>
      </c>
      <c r="E115" s="10" t="str">
        <f>VLOOKUP(D115,'[1]DATA BASE SANTRI'!$C$3:$E$513,2,FALSE)</f>
        <v>ARSHAKA ZAFRAN ALFAREZI</v>
      </c>
      <c r="F115" s="11" t="str">
        <f>VLOOKUP(D115,'[1]DATA BASE SANTRI'!C23:E533,3,FALSE)</f>
        <v>1C</v>
      </c>
    </row>
    <row r="116" spans="1:6" ht="15.6" x14ac:dyDescent="0.3">
      <c r="A116" s="43"/>
      <c r="B116" s="7">
        <v>55</v>
      </c>
      <c r="C116" s="12"/>
      <c r="D116" s="14">
        <v>2444</v>
      </c>
      <c r="E116" s="10" t="str">
        <f>VLOOKUP(D116,'[1]DATA BASE SANTRI'!$C$3:$E$513,2,FALSE)</f>
        <v>CHAYRA SAKHI HAFIDZAH</v>
      </c>
      <c r="F116" s="11" t="str">
        <f>VLOOKUP(D116,'[1]DATA BASE SANTRI'!C24:E534,3,FALSE)</f>
        <v>1C</v>
      </c>
    </row>
    <row r="117" spans="1:6" ht="15.6" x14ac:dyDescent="0.3">
      <c r="A117" s="43"/>
      <c r="B117" s="13">
        <v>56</v>
      </c>
      <c r="C117" s="12"/>
      <c r="D117" s="14">
        <v>2446</v>
      </c>
      <c r="E117" s="10" t="str">
        <f>VLOOKUP(D117,'[1]DATA BASE SANTRI'!$C$3:$E$513,2,FALSE)</f>
        <v>DAISYA SABIRA HUMAIRA</v>
      </c>
      <c r="F117" s="11" t="str">
        <f>VLOOKUP(D117,'[1]DATA BASE SANTRI'!C25:E535,3,FALSE)</f>
        <v>1C</v>
      </c>
    </row>
    <row r="118" spans="1:6" ht="15.6" x14ac:dyDescent="0.3">
      <c r="A118" s="43"/>
      <c r="B118" s="7">
        <v>57</v>
      </c>
      <c r="C118" s="12"/>
      <c r="D118" s="14">
        <v>2477</v>
      </c>
      <c r="E118" s="10" t="str">
        <f>VLOOKUP(D118,'[1]DATA BASE SANTRI'!$C$3:$E$513,2,FALSE)</f>
        <v>MUHAMMAD RASHAAD ALDRICH</v>
      </c>
      <c r="F118" s="11" t="str">
        <f>VLOOKUP(D118,'[1]DATA BASE SANTRI'!C26:E536,3,FALSE)</f>
        <v>1C</v>
      </c>
    </row>
    <row r="119" spans="1:6" ht="15.6" x14ac:dyDescent="0.3">
      <c r="A119" s="43"/>
      <c r="B119" s="13">
        <v>58</v>
      </c>
      <c r="C119" s="12"/>
      <c r="D119" s="14">
        <v>2483</v>
      </c>
      <c r="E119" s="10" t="str">
        <f>VLOOKUP(D119,'[1]DATA BASE SANTRI'!$C$3:$E$513,2,FALSE)</f>
        <v>NANDITA PUTRI AYUNDA</v>
      </c>
      <c r="F119" s="11" t="str">
        <f>VLOOKUP(D119,'[1]DATA BASE SANTRI'!C27:E537,3,FALSE)</f>
        <v>1C</v>
      </c>
    </row>
    <row r="120" spans="1:6" ht="15.6" x14ac:dyDescent="0.3">
      <c r="A120" s="43"/>
      <c r="B120" s="7">
        <v>59</v>
      </c>
      <c r="C120" s="12"/>
      <c r="D120" s="14">
        <v>2489</v>
      </c>
      <c r="E120" s="10" t="str">
        <f>VLOOKUP(D120,'[1]DATA BASE SANTRI'!$C$3:$E$513,2,FALSE)</f>
        <v>RADITYA NUGROHO PUTRA</v>
      </c>
      <c r="F120" s="11" t="str">
        <f>VLOOKUP(D120,'[1]DATA BASE SANTRI'!C28:E538,3,FALSE)</f>
        <v>1C</v>
      </c>
    </row>
    <row r="121" spans="1:6" ht="15.6" x14ac:dyDescent="0.3">
      <c r="A121" s="44"/>
      <c r="B121" s="13">
        <v>60</v>
      </c>
      <c r="C121" s="12"/>
      <c r="D121" s="14">
        <v>2502</v>
      </c>
      <c r="E121" s="10" t="str">
        <f>VLOOKUP(D121,'[1]DATA BASE SANTRI'!$C$3:$E$513,2,FALSE)</f>
        <v>SHIMA PRAMESWARI ASYARI</v>
      </c>
      <c r="F121" s="11" t="str">
        <f>VLOOKUP(D121,'[1]DATA BASE SANTRI'!C29:E539,3,FALSE)</f>
        <v>1C</v>
      </c>
    </row>
    <row r="122" spans="1:6" ht="15.45" customHeight="1" x14ac:dyDescent="0.3">
      <c r="A122" s="24" t="s">
        <v>8</v>
      </c>
      <c r="B122" s="13">
        <v>1</v>
      </c>
      <c r="C122" s="12">
        <v>1</v>
      </c>
      <c r="D122" s="15">
        <v>2260</v>
      </c>
      <c r="E122" s="10" t="str">
        <f>VLOOKUP(D122,'[1]DATA BASE SANTRI'!$C$91:$E$513,2,FALSE)</f>
        <v>Chayra Khaliqa Gavaputri Hanif</v>
      </c>
      <c r="F122" s="11" t="str">
        <f>VLOOKUP(D122,'[1]DATA BASE SANTRI'!$C$91:$E$513,3,FALSE)</f>
        <v>3A</v>
      </c>
    </row>
    <row r="123" spans="1:6" ht="15.6" x14ac:dyDescent="0.3">
      <c r="A123" s="25"/>
      <c r="B123" s="7">
        <v>2</v>
      </c>
      <c r="C123" s="12">
        <v>2</v>
      </c>
      <c r="D123" s="15">
        <v>2288</v>
      </c>
      <c r="E123" s="10" t="str">
        <f>VLOOKUP(D123,'[1]DATA BASE SANTRI'!$C$91:$E$513,2,FALSE)</f>
        <v>Muhammad Zubair Almakki</v>
      </c>
      <c r="F123" s="11" t="str">
        <f>VLOOKUP(D123,'[1]DATA BASE SANTRI'!$C$91:$E$513,3,FALSE)</f>
        <v>3A</v>
      </c>
    </row>
    <row r="124" spans="1:6" ht="15.6" x14ac:dyDescent="0.3">
      <c r="A124" s="25"/>
      <c r="B124" s="13">
        <v>3</v>
      </c>
      <c r="C124" s="12">
        <v>3</v>
      </c>
      <c r="D124" s="15">
        <v>2262</v>
      </c>
      <c r="E124" s="10" t="str">
        <f>VLOOKUP(D124,'[1]DATA BASE SANTRI'!$C$91:$E$513,2,FALSE)</f>
        <v>Deera Amelyaa Rachman</v>
      </c>
      <c r="F124" s="11" t="str">
        <f>VLOOKUP(D124,'[1]DATA BASE SANTRI'!$C$91:$E$513,3,FALSE)</f>
        <v>3A</v>
      </c>
    </row>
    <row r="125" spans="1:6" ht="15.6" x14ac:dyDescent="0.3">
      <c r="A125" s="25"/>
      <c r="B125" s="7">
        <v>4</v>
      </c>
      <c r="C125" s="12">
        <v>4</v>
      </c>
      <c r="D125" s="15">
        <v>2106</v>
      </c>
      <c r="E125" s="10" t="str">
        <f>VLOOKUP(D125,'[1]DATA BASE SANTRI'!$C$91:$E$513,2,FALSE)</f>
        <v>Radit Putra Prastyo</v>
      </c>
      <c r="F125" s="11" t="str">
        <f>VLOOKUP(D125,'[1]DATA BASE SANTRI'!$C$91:$E$513,3,FALSE)</f>
        <v>5A</v>
      </c>
    </row>
    <row r="126" spans="1:6" ht="15.6" x14ac:dyDescent="0.3">
      <c r="A126" s="25"/>
      <c r="B126" s="13">
        <v>5</v>
      </c>
      <c r="C126" s="12">
        <v>5</v>
      </c>
      <c r="D126" s="15">
        <v>2034</v>
      </c>
      <c r="E126" s="10" t="str">
        <f>VLOOKUP(D126,'[1]DATA BASE SANTRI'!$C$91:$E$513,2,FALSE)</f>
        <v>Abrial Richkey Jeno Aditshan</v>
      </c>
      <c r="F126" s="11" t="str">
        <f>VLOOKUP(D126,'[1]DATA BASE SANTRI'!$C$91:$E$513,3,FALSE)</f>
        <v>5A</v>
      </c>
    </row>
    <row r="127" spans="1:6" ht="15.6" x14ac:dyDescent="0.3">
      <c r="A127" s="25"/>
      <c r="B127" s="7">
        <v>6</v>
      </c>
      <c r="C127" s="12">
        <v>6</v>
      </c>
      <c r="D127" s="12">
        <v>2185</v>
      </c>
      <c r="E127" s="10" t="str">
        <f>VLOOKUP(D127,'[1]DATA BASE SANTRI'!$C$91:$E$513,2,FALSE)</f>
        <v>Moh. Athar Rabbani</v>
      </c>
      <c r="F127" s="11" t="str">
        <f>VLOOKUP(D127,'[1]DATA BASE SANTRI'!$C$91:$E$513,3,FALSE)</f>
        <v>4C</v>
      </c>
    </row>
    <row r="128" spans="1:6" ht="15.6" x14ac:dyDescent="0.3">
      <c r="A128" s="25"/>
      <c r="B128" s="13">
        <v>7</v>
      </c>
      <c r="C128" s="12">
        <v>7</v>
      </c>
      <c r="D128" s="15">
        <v>2408</v>
      </c>
      <c r="E128" s="10" t="str">
        <f>VLOOKUP(D128,'[1]DATA BASE SANTRI'!$C$91:$E$513,2,FALSE)</f>
        <v>Reno Wahyu Adiwijaya</v>
      </c>
      <c r="F128" s="11" t="str">
        <f>VLOOKUP(D128,'[1]DATA BASE SANTRI'!$C$91:$E$513,3,FALSE)</f>
        <v>2A</v>
      </c>
    </row>
    <row r="129" spans="1:6" ht="15.6" x14ac:dyDescent="0.3">
      <c r="A129" s="25"/>
      <c r="B129" s="7">
        <v>8</v>
      </c>
      <c r="C129" s="12">
        <v>8</v>
      </c>
      <c r="D129" s="15">
        <v>2327</v>
      </c>
      <c r="E129" s="10" t="str">
        <f>VLOOKUP(D129,'[1]DATA BASE SANTRI'!$C$91:$E$513,2,FALSE)</f>
        <v>Adwitiya Keva Liha</v>
      </c>
      <c r="F129" s="11" t="str">
        <f>VLOOKUP(D129,'[1]DATA BASE SANTRI'!$C$91:$E$513,3,FALSE)</f>
        <v>2A</v>
      </c>
    </row>
    <row r="130" spans="1:6" ht="15.6" x14ac:dyDescent="0.3">
      <c r="A130" s="25"/>
      <c r="B130" s="13">
        <v>9</v>
      </c>
      <c r="C130" s="12">
        <v>9</v>
      </c>
      <c r="D130" s="9">
        <v>2345</v>
      </c>
      <c r="E130" s="10" t="str">
        <f>VLOOKUP(D130,'[1]DATA BASE SANTRI'!$C$91:$E$513,2,FALSE)</f>
        <v>Azriel Alfarizqi Putra Wibowo</v>
      </c>
      <c r="F130" s="11" t="str">
        <f>VLOOKUP(D130,'[1]DATA BASE SANTRI'!$C$91:$E$513,3,FALSE)</f>
        <v>2B</v>
      </c>
    </row>
    <row r="131" spans="1:6" ht="15.6" x14ac:dyDescent="0.3">
      <c r="A131" s="25"/>
      <c r="B131" s="7">
        <v>10</v>
      </c>
      <c r="C131" s="12">
        <v>10</v>
      </c>
      <c r="D131" s="9">
        <v>2349</v>
      </c>
      <c r="E131" s="10" t="str">
        <f>VLOOKUP(D131,'[1]DATA BASE SANTRI'!$C$91:$E$513,2,FALSE)</f>
        <v>Ceissya Maryam Zhafirrah Mulyanto</v>
      </c>
      <c r="F131" s="11" t="str">
        <f>VLOOKUP(D131,'[1]DATA BASE SANTRI'!$C$91:$E$513,3,FALSE)</f>
        <v>2B</v>
      </c>
    </row>
    <row r="132" spans="1:6" ht="15.6" x14ac:dyDescent="0.3">
      <c r="A132" s="25"/>
      <c r="B132" s="13">
        <v>11</v>
      </c>
      <c r="C132" s="12">
        <v>11</v>
      </c>
      <c r="D132" s="9">
        <v>2367</v>
      </c>
      <c r="E132" s="10" t="str">
        <f>VLOOKUP(D132,'[1]DATA BASE SANTRI'!$C$91:$E$513,2,FALSE)</f>
        <v>Khadijah Syifa Almira</v>
      </c>
      <c r="F132" s="11" t="str">
        <f>VLOOKUP(D132,'[1]DATA BASE SANTRI'!$C$91:$E$513,3,FALSE)</f>
        <v>2B</v>
      </c>
    </row>
    <row r="133" spans="1:6" ht="15.6" x14ac:dyDescent="0.3">
      <c r="A133" s="25"/>
      <c r="B133" s="7">
        <v>12</v>
      </c>
      <c r="C133" s="12">
        <v>12</v>
      </c>
      <c r="D133" s="12">
        <v>2374</v>
      </c>
      <c r="E133" s="10" t="str">
        <f>VLOOKUP(D133,'[1]DATA BASE SANTRI'!$C$91:$E$513,2,FALSE)</f>
        <v>Kienan Putri Prastyo</v>
      </c>
      <c r="F133" s="11" t="str">
        <f>VLOOKUP(D133,'[1]DATA BASE SANTRI'!$C$91:$E$513,3,FALSE)</f>
        <v>2A</v>
      </c>
    </row>
    <row r="134" spans="1:6" ht="15.6" x14ac:dyDescent="0.3">
      <c r="A134" s="25"/>
      <c r="B134" s="13">
        <v>13</v>
      </c>
      <c r="C134" s="12">
        <v>13</v>
      </c>
      <c r="D134" s="9">
        <v>2375</v>
      </c>
      <c r="E134" s="10" t="str">
        <f>VLOOKUP(D134,'[1]DATA BASE SANTRI'!$C$91:$E$513,2,FALSE)</f>
        <v>Lavechia Wicaksono</v>
      </c>
      <c r="F134" s="11" t="str">
        <f>VLOOKUP(D134,'[1]DATA BASE SANTRI'!$C$91:$E$513,3,FALSE)</f>
        <v>2A</v>
      </c>
    </row>
    <row r="135" spans="1:6" ht="15.6" x14ac:dyDescent="0.3">
      <c r="A135" s="25"/>
      <c r="B135" s="7">
        <v>14</v>
      </c>
      <c r="C135" s="12">
        <v>14</v>
      </c>
      <c r="D135" s="9">
        <v>2369</v>
      </c>
      <c r="E135" s="10" t="str">
        <f>VLOOKUP(D135,'[1]DATA BASE SANTRI'!$C$91:$E$513,2,FALSE)</f>
        <v>Khansa Syafira Almahyra</v>
      </c>
      <c r="F135" s="11" t="str">
        <f>VLOOKUP(D135,'[1]DATA BASE SANTRI'!$C$91:$E$513,3,FALSE)</f>
        <v>2B</v>
      </c>
    </row>
    <row r="136" spans="1:6" ht="15.6" x14ac:dyDescent="0.3">
      <c r="A136" s="25"/>
      <c r="B136" s="13">
        <v>15</v>
      </c>
      <c r="C136" s="12">
        <v>15</v>
      </c>
      <c r="D136" s="9">
        <v>2396</v>
      </c>
      <c r="E136" s="10" t="str">
        <f>VLOOKUP(D136,'[1]DATA BASE SANTRI'!$C$91:$E$513,2,FALSE)</f>
        <v>Muhammad Rizky Kahfi Kurniawan</v>
      </c>
      <c r="F136" s="11" t="str">
        <f>VLOOKUP(D136,'[1]DATA BASE SANTRI'!$C$91:$E$513,3,FALSE)</f>
        <v>2B</v>
      </c>
    </row>
    <row r="137" spans="1:6" ht="15.6" x14ac:dyDescent="0.3">
      <c r="A137" s="25"/>
      <c r="B137" s="7">
        <v>16</v>
      </c>
      <c r="C137" s="12">
        <v>16</v>
      </c>
      <c r="D137" s="9">
        <v>2400</v>
      </c>
      <c r="E137" s="10" t="str">
        <f>VLOOKUP(D137,'[1]DATA BASE SANTRI'!$C$91:$E$513,2,FALSE)</f>
        <v>Nafisha Elvina Putri</v>
      </c>
      <c r="F137" s="11" t="str">
        <f>VLOOKUP(D137,'[1]DATA BASE SANTRI'!$C$91:$E$513,3,FALSE)</f>
        <v>2B</v>
      </c>
    </row>
    <row r="138" spans="1:6" ht="15.6" x14ac:dyDescent="0.3">
      <c r="A138" s="25"/>
      <c r="B138" s="13">
        <v>17</v>
      </c>
      <c r="C138" s="12">
        <v>17</v>
      </c>
      <c r="D138" s="15">
        <v>2381</v>
      </c>
      <c r="E138" s="10" t="str">
        <f>VLOOKUP(D138,'[1]DATA BASE SANTRI'!$C$91:$E$513,2,FALSE)</f>
        <v>Mikhayla Yurla Azzahra</v>
      </c>
      <c r="F138" s="11" t="str">
        <f>VLOOKUP(D138,'[1]DATA BASE SANTRI'!$C$91:$E$513,3,FALSE)</f>
        <v>2C</v>
      </c>
    </row>
    <row r="139" spans="1:6" ht="15.6" x14ac:dyDescent="0.3">
      <c r="A139" s="25"/>
      <c r="B139" s="7">
        <v>18</v>
      </c>
      <c r="C139" s="12">
        <v>18</v>
      </c>
      <c r="D139" s="9">
        <v>2414</v>
      </c>
      <c r="E139" s="10" t="str">
        <f>VLOOKUP(D139,'[1]DATA BASE SANTRI'!$C$91:$E$513,2,FALSE)</f>
        <v>Shana Clemira Effendi</v>
      </c>
      <c r="F139" s="11" t="str">
        <f>VLOOKUP(D139,'[1]DATA BASE SANTRI'!$C$91:$E$513,3,FALSE)</f>
        <v>2C</v>
      </c>
    </row>
    <row r="140" spans="1:6" ht="15.6" x14ac:dyDescent="0.3">
      <c r="A140" s="25"/>
      <c r="B140" s="13">
        <v>19</v>
      </c>
      <c r="C140" s="12">
        <v>19</v>
      </c>
      <c r="D140" s="9">
        <v>2418</v>
      </c>
      <c r="E140" s="10" t="str">
        <f>VLOOKUP(D140,'[1]DATA BASE SANTRI'!$C$91:$E$513,2,FALSE)</f>
        <v>Zea Amelia</v>
      </c>
      <c r="F140" s="11" t="str">
        <f>VLOOKUP(D140,'[1]DATA BASE SANTRI'!$C$91:$E$513,3,FALSE)</f>
        <v>2C</v>
      </c>
    </row>
    <row r="141" spans="1:6" ht="15.6" x14ac:dyDescent="0.3">
      <c r="A141" s="25"/>
      <c r="B141" s="7">
        <v>20</v>
      </c>
      <c r="C141" s="12">
        <v>20</v>
      </c>
      <c r="D141" s="9">
        <v>2125</v>
      </c>
      <c r="E141" s="10" t="str">
        <f>VLOOKUP(D141,'[1]DATA BASE SANTRI'!$C$91:$E$513,2,FALSE)</f>
        <v>Ayu Puspita Sari</v>
      </c>
      <c r="F141" s="11" t="str">
        <f>VLOOKUP(D141,'[1]DATA BASE SANTRI'!$C$91:$E$513,3,FALSE)</f>
        <v>5A</v>
      </c>
    </row>
    <row r="142" spans="1:6" ht="15.6" x14ac:dyDescent="0.3">
      <c r="A142" s="25"/>
      <c r="B142" s="13">
        <v>21</v>
      </c>
      <c r="C142" s="12">
        <v>1</v>
      </c>
      <c r="D142" s="16">
        <v>2356</v>
      </c>
      <c r="E142" s="10" t="str">
        <f>VLOOKUP(D142,'[1]DATA BASE SANTRI'!$C$91:$E$513,2,FALSE)</f>
        <v>Fayola Disya Azzahra</v>
      </c>
      <c r="F142" s="11" t="str">
        <f>VLOOKUP(D142,'[1]DATA BASE SANTRI'!$C$91:$E$513,3,FALSE)</f>
        <v>2A</v>
      </c>
    </row>
    <row r="143" spans="1:6" ht="15.6" x14ac:dyDescent="0.3">
      <c r="A143" s="25"/>
      <c r="B143" s="7">
        <v>22</v>
      </c>
      <c r="C143" s="12">
        <v>2</v>
      </c>
      <c r="D143" s="12">
        <v>2324</v>
      </c>
      <c r="E143" s="10" t="str">
        <f>VLOOKUP(D143,'[1]DATA BASE SANTRI'!$C$91:$E$513,2,FALSE)</f>
        <v xml:space="preserve">Davin Al Barra Rizqi Daniswara </v>
      </c>
      <c r="F143" s="11" t="str">
        <f>VLOOKUP(D143,'[1]DATA BASE SANTRI'!$C$91:$E$513,3,FALSE)</f>
        <v>6C</v>
      </c>
    </row>
    <row r="144" spans="1:6" ht="15.6" x14ac:dyDescent="0.3">
      <c r="A144" s="25"/>
      <c r="B144" s="13">
        <v>23</v>
      </c>
      <c r="C144" s="12">
        <v>3</v>
      </c>
      <c r="D144" s="15">
        <v>2233</v>
      </c>
      <c r="E144" s="10" t="str">
        <f>VLOOKUP(D144,'[1]DATA BASE SANTRI'!$C$91:$E$513,2,FALSE)</f>
        <v>Abrizam Ahyan</v>
      </c>
      <c r="F144" s="11" t="str">
        <f>VLOOKUP(D144,'[1]DATA BASE SANTRI'!$C$91:$E$513,3,FALSE)</f>
        <v>3B</v>
      </c>
    </row>
    <row r="145" spans="1:6" ht="15.6" x14ac:dyDescent="0.3">
      <c r="A145" s="25"/>
      <c r="B145" s="7">
        <v>24</v>
      </c>
      <c r="C145" s="12">
        <v>4</v>
      </c>
      <c r="D145" s="12">
        <v>2179</v>
      </c>
      <c r="E145" s="10" t="str">
        <f>VLOOKUP(D145,'[1]DATA BASE SANTRI'!$C$91:$E$513,2,FALSE)</f>
        <v>Letishia Nada Pradhana</v>
      </c>
      <c r="F145" s="11" t="str">
        <f>VLOOKUP(D145,'[1]DATA BASE SANTRI'!$C$91:$E$513,3,FALSE)</f>
        <v>4B</v>
      </c>
    </row>
    <row r="146" spans="1:6" ht="15.6" x14ac:dyDescent="0.3">
      <c r="A146" s="25"/>
      <c r="B146" s="13">
        <v>25</v>
      </c>
      <c r="C146" s="12">
        <v>5</v>
      </c>
      <c r="D146" s="16">
        <v>2350</v>
      </c>
      <c r="E146" s="10" t="str">
        <f>VLOOKUP(D146,'[1]DATA BASE SANTRI'!$C$91:$E$513,2,FALSE)</f>
        <v>Clarissa Mecca Islamiaddin</v>
      </c>
      <c r="F146" s="11" t="str">
        <f>VLOOKUP(D146,'[1]DATA BASE SANTRI'!$C$91:$E$513,3,FALSE)</f>
        <v>2C</v>
      </c>
    </row>
    <row r="147" spans="1:6" ht="15.6" x14ac:dyDescent="0.3">
      <c r="A147" s="25"/>
      <c r="B147" s="7">
        <v>26</v>
      </c>
      <c r="C147" s="12">
        <v>6</v>
      </c>
      <c r="D147" s="15">
        <v>2389</v>
      </c>
      <c r="E147" s="10" t="str">
        <f>VLOOKUP(D147,'[1]DATA BASE SANTRI'!$C$91:$E$513,2,FALSE)</f>
        <v>Muhammad Fathullah Alhadrami</v>
      </c>
      <c r="F147" s="11" t="str">
        <f>VLOOKUP(D147,'[1]DATA BASE SANTRI'!$C$91:$E$513,3,FALSE)</f>
        <v>2C</v>
      </c>
    </row>
    <row r="148" spans="1:6" ht="15.6" x14ac:dyDescent="0.3">
      <c r="A148" s="25"/>
      <c r="B148" s="13">
        <v>27</v>
      </c>
      <c r="C148" s="12">
        <v>7</v>
      </c>
      <c r="D148" s="15">
        <v>2240</v>
      </c>
      <c r="E148" s="10" t="str">
        <f>VLOOKUP(D148,'[1]DATA BASE SANTRI'!$C$91:$E$513,2,FALSE)</f>
        <v>Alifa Naufalyn Fikria Rabbani</v>
      </c>
      <c r="F148" s="11" t="str">
        <f>VLOOKUP(D148,'[1]DATA BASE SANTRI'!$C$91:$E$513,3,FALSE)</f>
        <v>3C</v>
      </c>
    </row>
    <row r="149" spans="1:6" ht="15.6" x14ac:dyDescent="0.3">
      <c r="A149" s="25"/>
      <c r="B149" s="7">
        <v>28</v>
      </c>
      <c r="C149" s="12">
        <v>8</v>
      </c>
      <c r="D149" s="16">
        <v>2334</v>
      </c>
      <c r="E149" s="10" t="str">
        <f>VLOOKUP(D149,'[1]DATA BASE SANTRI'!$C$91:$E$513,2,FALSE)</f>
        <v>Almahyra Kirana Putri Zakaria</v>
      </c>
      <c r="F149" s="11" t="str">
        <f>VLOOKUP(D149,'[1]DATA BASE SANTRI'!$C$91:$E$513,3,FALSE)</f>
        <v>2A</v>
      </c>
    </row>
    <row r="150" spans="1:6" ht="15.6" x14ac:dyDescent="0.3">
      <c r="A150" s="25"/>
      <c r="B150" s="13">
        <v>29</v>
      </c>
      <c r="C150" s="12">
        <v>9</v>
      </c>
      <c r="D150" s="15">
        <v>2343</v>
      </c>
      <c r="E150" s="10" t="str">
        <f>VLOOKUP(D150,'[1]DATA BASE SANTRI'!$C$91:$E$513,2,FALSE)</f>
        <v>Azalea Citra Nirmala</v>
      </c>
      <c r="F150" s="11" t="str">
        <f>VLOOKUP(D150,'[1]DATA BASE SANTRI'!$C$91:$E$513,3,FALSE)</f>
        <v>2A</v>
      </c>
    </row>
    <row r="151" spans="1:6" ht="15.6" x14ac:dyDescent="0.3">
      <c r="A151" s="25"/>
      <c r="B151" s="7">
        <v>30</v>
      </c>
      <c r="C151" s="12">
        <v>10</v>
      </c>
      <c r="D151" s="15">
        <v>2338</v>
      </c>
      <c r="E151" s="10" t="str">
        <f>VLOOKUP(D151,'[1]DATA BASE SANTRI'!$C$91:$E$513,2,FALSE)</f>
        <v xml:space="preserve">Arba Al Qarni Amirullah </v>
      </c>
      <c r="F151" s="11" t="str">
        <f>VLOOKUP(D151,'[1]DATA BASE SANTRI'!$C$91:$E$513,3,FALSE)</f>
        <v>2B</v>
      </c>
    </row>
    <row r="152" spans="1:6" ht="15.6" x14ac:dyDescent="0.3">
      <c r="A152" s="25"/>
      <c r="B152" s="13">
        <v>31</v>
      </c>
      <c r="C152" s="12">
        <v>11</v>
      </c>
      <c r="D152" s="9">
        <v>2282</v>
      </c>
      <c r="E152" s="10" t="str">
        <f>VLOOKUP(D152,'[1]DATA BASE SANTRI'!$C$91:$E$513,2,FALSE)</f>
        <v>Khanza Shidqia Firnandyah</v>
      </c>
      <c r="F152" s="11" t="str">
        <f>VLOOKUP(D152,'[1]DATA BASE SANTRI'!$C$91:$E$513,3,FALSE)</f>
        <v>3A</v>
      </c>
    </row>
    <row r="153" spans="1:6" ht="15.6" x14ac:dyDescent="0.3">
      <c r="A153" s="25"/>
      <c r="B153" s="7">
        <v>32</v>
      </c>
      <c r="C153" s="12">
        <v>12</v>
      </c>
      <c r="D153" s="9">
        <v>2256</v>
      </c>
      <c r="E153" s="10" t="str">
        <f>VLOOKUP(D153,'[1]DATA BASE SANTRI'!$C$91:$E$513,2,FALSE)</f>
        <v>Briliant Kahiyang Putri</v>
      </c>
      <c r="F153" s="11" t="str">
        <f>VLOOKUP(D153,'[1]DATA BASE SANTRI'!$C$91:$E$513,3,FALSE)</f>
        <v>3A</v>
      </c>
    </row>
    <row r="154" spans="1:6" ht="15.6" x14ac:dyDescent="0.3">
      <c r="A154" s="25"/>
      <c r="B154" s="13">
        <v>33</v>
      </c>
      <c r="C154" s="12">
        <v>13</v>
      </c>
      <c r="D154" s="9">
        <v>2253</v>
      </c>
      <c r="E154" s="10" t="str">
        <f>VLOOKUP(D154,'[1]DATA BASE SANTRI'!$C$91:$E$513,2,FALSE)</f>
        <v>Aura Bethari Embun Maulida</v>
      </c>
      <c r="F154" s="11" t="str">
        <f>VLOOKUP(D154,'[1]DATA BASE SANTRI'!$C$91:$E$513,3,FALSE)</f>
        <v>3B</v>
      </c>
    </row>
    <row r="155" spans="1:6" ht="15.6" x14ac:dyDescent="0.3">
      <c r="A155" s="25"/>
      <c r="B155" s="7">
        <v>34</v>
      </c>
      <c r="C155" s="12">
        <v>14</v>
      </c>
      <c r="D155" s="9">
        <v>2377</v>
      </c>
      <c r="E155" s="10" t="str">
        <f>VLOOKUP(D155,'[1]DATA BASE SANTRI'!$C$91:$E$513,2,FALSE)</f>
        <v>Mahendra Putra Basyaria Yahya</v>
      </c>
      <c r="F155" s="11" t="str">
        <f>VLOOKUP(D155,'[1]DATA BASE SANTRI'!$C$91:$E$513,3,FALSE)</f>
        <v>2A</v>
      </c>
    </row>
    <row r="156" spans="1:6" ht="15.6" x14ac:dyDescent="0.3">
      <c r="A156" s="25"/>
      <c r="B156" s="13">
        <v>35</v>
      </c>
      <c r="C156" s="12">
        <v>15</v>
      </c>
      <c r="D156" s="9">
        <v>2412</v>
      </c>
      <c r="E156" s="10" t="str">
        <f>VLOOKUP(D156,'[1]DATA BASE SANTRI'!$C$91:$E$513,2,FALSE)</f>
        <v>Salma Kanita</v>
      </c>
      <c r="F156" s="11" t="str">
        <f>VLOOKUP(D156,'[1]DATA BASE SANTRI'!$C$91:$E$513,3,FALSE)</f>
        <v>2A</v>
      </c>
    </row>
    <row r="157" spans="1:6" ht="15.6" x14ac:dyDescent="0.3">
      <c r="A157" s="25"/>
      <c r="B157" s="7">
        <v>36</v>
      </c>
      <c r="C157" s="12">
        <v>16</v>
      </c>
      <c r="D157" s="9">
        <v>2352</v>
      </c>
      <c r="E157" s="10" t="str">
        <f>VLOOKUP(D157,'[1]DATA BASE SANTRI'!$C$91:$E$513,2,FALSE)</f>
        <v>Dzaki Nararya Sandi</v>
      </c>
      <c r="F157" s="11" t="str">
        <f>VLOOKUP(D157,'[1]DATA BASE SANTRI'!$C$91:$E$513,3,FALSE)</f>
        <v>2C</v>
      </c>
    </row>
    <row r="158" spans="1:6" ht="15.6" x14ac:dyDescent="0.3">
      <c r="A158" s="25"/>
      <c r="B158" s="13">
        <v>37</v>
      </c>
      <c r="C158" s="12">
        <v>17</v>
      </c>
      <c r="D158" s="9">
        <v>2358</v>
      </c>
      <c r="E158" s="10" t="str">
        <f>VLOOKUP(D158,'[1]DATA BASE SANTRI'!$C$91:$E$513,2,FALSE)</f>
        <v>Gavyn Pradipta Assensio</v>
      </c>
      <c r="F158" s="11" t="str">
        <f>VLOOKUP(D158,'[1]DATA BASE SANTRI'!$C$91:$E$513,3,FALSE)</f>
        <v>2C</v>
      </c>
    </row>
    <row r="159" spans="1:6" ht="15.6" x14ac:dyDescent="0.3">
      <c r="A159" s="25"/>
      <c r="B159" s="7">
        <v>38</v>
      </c>
      <c r="C159" s="12">
        <v>18</v>
      </c>
      <c r="D159" s="14">
        <v>2318</v>
      </c>
      <c r="E159" s="10" t="str">
        <f>VLOOKUP(D159,'[1]DATA BASE SANTRI'!$C$91:$E$513,2,FALSE)</f>
        <v>Vallencya Al'xaviere Zummylianti</v>
      </c>
      <c r="F159" s="11" t="str">
        <f>VLOOKUP(D159,'[1]DATA BASE SANTRI'!$C$91:$E$513,3,FALSE)</f>
        <v>3C</v>
      </c>
    </row>
    <row r="160" spans="1:6" ht="15.6" x14ac:dyDescent="0.3">
      <c r="A160" s="25"/>
      <c r="B160" s="13">
        <v>39</v>
      </c>
      <c r="C160" s="12">
        <v>19</v>
      </c>
      <c r="D160" s="14">
        <v>2401</v>
      </c>
      <c r="E160" s="10" t="str">
        <f>VLOOKUP(D160,'[1]DATA BASE SANTRI'!$C$91:$E$513,2,FALSE)</f>
        <v>Naifah Milena Alicia</v>
      </c>
      <c r="F160" s="11" t="str">
        <f>VLOOKUP(D160,'[1]DATA BASE SANTRI'!$C$91:$E$513,3,FALSE)</f>
        <v>2B</v>
      </c>
    </row>
    <row r="161" spans="1:6" ht="15.6" x14ac:dyDescent="0.3">
      <c r="A161" s="25"/>
      <c r="B161" s="7">
        <v>40</v>
      </c>
      <c r="C161" s="12">
        <v>1</v>
      </c>
      <c r="D161" s="20">
        <v>2372</v>
      </c>
      <c r="E161" s="10" t="str">
        <f>VLOOKUP(D161,'[1]DATA BASE SANTRI'!$C$91:$E$513,2,FALSE)</f>
        <v>Kiano Abrisam Zakaria</v>
      </c>
      <c r="F161" s="11" t="str">
        <f>VLOOKUP(D161,'[1]DATA BASE SANTRI'!$C$91:$E$513,3,FALSE)</f>
        <v>2B</v>
      </c>
    </row>
    <row r="162" spans="1:6" ht="15.6" x14ac:dyDescent="0.3">
      <c r="A162" s="25"/>
      <c r="B162" s="13">
        <v>41</v>
      </c>
      <c r="C162" s="12">
        <v>2</v>
      </c>
      <c r="D162" s="20">
        <v>2333</v>
      </c>
      <c r="E162" s="10" t="str">
        <f>VLOOKUP(D162,'[1]DATA BASE SANTRI'!$C$91:$E$513,2,FALSE)</f>
        <v>Aliya Fatimah Nur Yahya</v>
      </c>
      <c r="F162" s="11" t="str">
        <f>VLOOKUP(D162,'[1]DATA BASE SANTRI'!$C$91:$E$513,3,FALSE)</f>
        <v>2C</v>
      </c>
    </row>
    <row r="163" spans="1:6" ht="15.6" x14ac:dyDescent="0.3">
      <c r="A163" s="25"/>
      <c r="B163" s="7">
        <v>42</v>
      </c>
      <c r="C163" s="12">
        <v>3</v>
      </c>
      <c r="D163" s="18">
        <v>2347</v>
      </c>
      <c r="E163" s="10" t="str">
        <f>VLOOKUP(D163,'[1]DATA BASE SANTRI'!$C$91:$E$513,2,FALSE)</f>
        <v>Azura Hanindia Hafidzah</v>
      </c>
      <c r="F163" s="11" t="str">
        <f>VLOOKUP(D163,'[1]DATA BASE SANTRI'!$C$91:$E$513,3,FALSE)</f>
        <v>2C</v>
      </c>
    </row>
    <row r="164" spans="1:6" ht="15.6" x14ac:dyDescent="0.3">
      <c r="A164" s="25"/>
      <c r="B164" s="13">
        <v>43</v>
      </c>
      <c r="C164" s="12">
        <v>4</v>
      </c>
      <c r="D164" s="19">
        <v>2368</v>
      </c>
      <c r="E164" s="10" t="str">
        <f>VLOOKUP(D164,'[1]DATA BASE SANTRI'!$C$91:$E$513,2,FALSE)</f>
        <v>Khaisyar Muhammad Arfan</v>
      </c>
      <c r="F164" s="11" t="str">
        <f>VLOOKUP(D164,'[1]DATA BASE SANTRI'!$C$91:$E$513,3,FALSE)</f>
        <v>4B</v>
      </c>
    </row>
    <row r="165" spans="1:6" ht="15.6" x14ac:dyDescent="0.3">
      <c r="A165" s="25"/>
      <c r="B165" s="7">
        <v>44</v>
      </c>
      <c r="C165" s="12">
        <v>5</v>
      </c>
      <c r="D165" s="18">
        <v>2211</v>
      </c>
      <c r="E165" s="10" t="str">
        <f>VLOOKUP(D165,'[1]DATA BASE SANTRI'!$C$91:$E$513,2,FALSE)</f>
        <v>Reynand Dzaky Arifareza</v>
      </c>
      <c r="F165" s="11" t="str">
        <f>VLOOKUP(D165,'[1]DATA BASE SANTRI'!$C$91:$E$513,3,FALSE)</f>
        <v>4C</v>
      </c>
    </row>
    <row r="166" spans="1:6" ht="15.6" x14ac:dyDescent="0.3">
      <c r="A166" s="25"/>
      <c r="B166" s="13">
        <v>45</v>
      </c>
      <c r="C166" s="12">
        <v>6</v>
      </c>
      <c r="D166" s="18">
        <v>2267</v>
      </c>
      <c r="E166" s="10" t="str">
        <f>VLOOKUP(D166,'[1]DATA BASE SANTRI'!$C$91:$E$513,2,FALSE)</f>
        <v>Fitri Ramadhani Chandra Idrus</v>
      </c>
      <c r="F166" s="11" t="str">
        <f>VLOOKUP(D166,'[1]DATA BASE SANTRI'!$C$91:$E$513,3,FALSE)</f>
        <v>3C</v>
      </c>
    </row>
    <row r="167" spans="1:6" ht="15.6" x14ac:dyDescent="0.3">
      <c r="A167" s="25"/>
      <c r="B167" s="7">
        <v>46</v>
      </c>
      <c r="C167" s="12">
        <v>7</v>
      </c>
      <c r="D167" s="18">
        <v>2278</v>
      </c>
      <c r="E167" s="10" t="str">
        <f>VLOOKUP(D167,'[1]DATA BASE SANTRI'!$C$91:$E$513,2,FALSE)</f>
        <v>Karasta Bayanaka Rasmawan</v>
      </c>
      <c r="F167" s="11" t="str">
        <f>VLOOKUP(D167,'[1]DATA BASE SANTRI'!$C$91:$E$513,3,FALSE)</f>
        <v>3C</v>
      </c>
    </row>
    <row r="168" spans="1:6" ht="15.6" x14ac:dyDescent="0.3">
      <c r="A168" s="25"/>
      <c r="B168" s="13">
        <v>47</v>
      </c>
      <c r="C168" s="12">
        <v>8</v>
      </c>
      <c r="D168" s="18">
        <v>2215</v>
      </c>
      <c r="E168" s="10" t="str">
        <f>VLOOKUP(D168,'[1]DATA BASE SANTRI'!$C$91:$E$513,2,FALSE)</f>
        <v>Salwa Arinah Chandra Idrus</v>
      </c>
      <c r="F168" s="11" t="str">
        <f>VLOOKUP(D168,'[1]DATA BASE SANTRI'!$C$91:$E$513,3,FALSE)</f>
        <v>4B</v>
      </c>
    </row>
    <row r="169" spans="1:6" ht="15.6" x14ac:dyDescent="0.3">
      <c r="A169" s="25"/>
      <c r="B169" s="7">
        <v>48</v>
      </c>
      <c r="C169" s="12">
        <v>9</v>
      </c>
      <c r="D169" s="18">
        <v>2329</v>
      </c>
      <c r="E169" s="10" t="str">
        <f>VLOOKUP(D169,'[1]DATA BASE SANTRI'!$C$91:$E$513,2,FALSE)</f>
        <v>Agam Halim Rahandhika</v>
      </c>
      <c r="F169" s="11" t="str">
        <f>VLOOKUP(D169,'[1]DATA BASE SANTRI'!$C$91:$E$513,3,FALSE)</f>
        <v>2B</v>
      </c>
    </row>
    <row r="170" spans="1:6" ht="15.6" x14ac:dyDescent="0.3">
      <c r="A170" s="25"/>
      <c r="B170" s="13">
        <v>49</v>
      </c>
      <c r="C170" s="12">
        <v>10</v>
      </c>
      <c r="D170" s="18">
        <v>2332</v>
      </c>
      <c r="E170" s="10" t="str">
        <f>VLOOKUP(D170,'[1]DATA BASE SANTRI'!$C$91:$E$513,2,FALSE)</f>
        <v>Akbar Rafiif Haidar Darmawan</v>
      </c>
      <c r="F170" s="11" t="str">
        <f>VLOOKUP(D170,'[1]DATA BASE SANTRI'!$C$91:$E$513,3,FALSE)</f>
        <v>2B</v>
      </c>
    </row>
    <row r="171" spans="1:6" ht="15.6" x14ac:dyDescent="0.3">
      <c r="A171" s="25"/>
      <c r="B171" s="7">
        <v>50</v>
      </c>
      <c r="C171" s="12">
        <v>11</v>
      </c>
      <c r="D171" s="14">
        <v>2244</v>
      </c>
      <c r="E171" s="10" t="str">
        <f>VLOOKUP(D171,'[1]DATA BASE SANTRI'!$C$91:$E$513,2,FALSE)</f>
        <v>Arfabian Xavier Rasyafariq</v>
      </c>
      <c r="F171" s="11" t="str">
        <f>VLOOKUP(D171,'[1]DATA BASE SANTRI'!$C$91:$E$513,3,FALSE)</f>
        <v>3B</v>
      </c>
    </row>
    <row r="172" spans="1:6" ht="15.6" x14ac:dyDescent="0.3">
      <c r="A172" s="25"/>
      <c r="B172" s="13">
        <v>51</v>
      </c>
      <c r="C172" s="12">
        <v>12</v>
      </c>
      <c r="D172" s="19">
        <v>2344</v>
      </c>
      <c r="E172" s="10" t="str">
        <f>VLOOKUP(D172,'[1]DATA BASE SANTRI'!$C$91:$E$513,2,FALSE)</f>
        <v>Azqiara Salwa Zaleeka</v>
      </c>
      <c r="F172" s="11" t="str">
        <f>VLOOKUP(D172,'[1]DATA BASE SANTRI'!$C$91:$E$513,3,FALSE)</f>
        <v>2A</v>
      </c>
    </row>
    <row r="173" spans="1:6" ht="15.6" x14ac:dyDescent="0.3">
      <c r="A173" s="25"/>
      <c r="B173" s="7">
        <v>52</v>
      </c>
      <c r="C173" s="12">
        <v>13</v>
      </c>
      <c r="D173" s="18">
        <v>2353</v>
      </c>
      <c r="E173" s="10" t="str">
        <f>VLOOKUP(D173,'[1]DATA BASE SANTRI'!$C$91:$E$513,2,FALSE)</f>
        <v>Elshanum Suardita Almahira</v>
      </c>
      <c r="F173" s="11" t="str">
        <f>VLOOKUP(D173,'[1]DATA BASE SANTRI'!$C$91:$E$513,3,FALSE)</f>
        <v>2A</v>
      </c>
    </row>
    <row r="174" spans="1:6" ht="15.6" x14ac:dyDescent="0.3">
      <c r="A174" s="25"/>
      <c r="B174" s="13">
        <v>53</v>
      </c>
      <c r="C174" s="12">
        <v>14</v>
      </c>
      <c r="D174" s="14">
        <v>2362</v>
      </c>
      <c r="E174" s="10" t="str">
        <f>VLOOKUP(D174,'[1]DATA BASE SANTRI'!$C$91:$E$513,2,FALSE)</f>
        <v>Jadid Aryan Syahputra</v>
      </c>
      <c r="F174" s="11" t="str">
        <f>VLOOKUP(D174,'[1]DATA BASE SANTRI'!$C$91:$E$513,3,FALSE)</f>
        <v>2A</v>
      </c>
    </row>
    <row r="175" spans="1:6" ht="15.6" x14ac:dyDescent="0.3">
      <c r="A175" s="25"/>
      <c r="B175" s="7">
        <v>54</v>
      </c>
      <c r="C175" s="12">
        <v>15</v>
      </c>
      <c r="D175" s="14">
        <v>2388</v>
      </c>
      <c r="E175" s="10" t="str">
        <f>VLOOKUP(D175,'[1]DATA BASE SANTRI'!$C$91:$E$513,2,FALSE)</f>
        <v>Muhammad Fatharian Zulfadli</v>
      </c>
      <c r="F175" s="11" t="str">
        <f>VLOOKUP(D175,'[1]DATA BASE SANTRI'!$C$91:$E$513,3,FALSE)</f>
        <v>2A</v>
      </c>
    </row>
    <row r="176" spans="1:6" ht="15.6" x14ac:dyDescent="0.3">
      <c r="A176" s="25"/>
      <c r="B176" s="13">
        <v>55</v>
      </c>
      <c r="C176" s="12">
        <v>16</v>
      </c>
      <c r="D176" s="18">
        <v>2366</v>
      </c>
      <c r="E176" s="10" t="str">
        <f>VLOOKUP(D176,'[1]DATA BASE SANTRI'!$C$91:$E$513,2,FALSE)</f>
        <v>Ken Ayu Gendhis Adreenareswari</v>
      </c>
      <c r="F176" s="11" t="str">
        <f>VLOOKUP(D176,'[1]DATA BASE SANTRI'!$C$91:$E$513,3,FALSE)</f>
        <v>2C</v>
      </c>
    </row>
    <row r="177" spans="1:6" ht="15.6" x14ac:dyDescent="0.3">
      <c r="A177" s="25"/>
      <c r="B177" s="7">
        <v>56</v>
      </c>
      <c r="C177" s="12">
        <v>17</v>
      </c>
      <c r="D177" s="18">
        <v>2370</v>
      </c>
      <c r="E177" s="10" t="str">
        <f>VLOOKUP(D177,'[1]DATA BASE SANTRI'!$C$91:$E$513,2,FALSE)</f>
        <v>Khaylilla Annisa Santoso</v>
      </c>
      <c r="F177" s="11" t="str">
        <f>VLOOKUP(D177,'[1]DATA BASE SANTRI'!$C$91:$E$513,3,FALSE)</f>
        <v>2C</v>
      </c>
    </row>
    <row r="178" spans="1:6" ht="15.6" x14ac:dyDescent="0.3">
      <c r="A178" s="25"/>
      <c r="B178" s="13">
        <v>57</v>
      </c>
      <c r="C178" s="12">
        <v>18</v>
      </c>
      <c r="D178" s="18">
        <v>2371</v>
      </c>
      <c r="E178" s="10" t="str">
        <f>VLOOKUP(D178,'[1]DATA BASE SANTRI'!$C$91:$E$513,2,FALSE)</f>
        <v>Khayra Queenshabella Andriyanky</v>
      </c>
      <c r="F178" s="11" t="str">
        <f>VLOOKUP(D178,'[1]DATA BASE SANTRI'!$C$91:$E$513,3,FALSE)</f>
        <v>2C</v>
      </c>
    </row>
    <row r="179" spans="1:6" ht="15.6" x14ac:dyDescent="0.3">
      <c r="A179" s="25"/>
      <c r="B179" s="7">
        <v>58</v>
      </c>
      <c r="C179" s="12">
        <v>19</v>
      </c>
      <c r="D179" s="14">
        <v>2411</v>
      </c>
      <c r="E179" s="10" t="str">
        <f>VLOOKUP(D179,'[1]DATA BASE SANTRI'!$C$91:$E$513,2,FALSE)</f>
        <v>Salahuddin Al Ayyubi Miftah</v>
      </c>
      <c r="F179" s="11" t="str">
        <f>VLOOKUP(D179,'[1]DATA BASE SANTRI'!$C$91:$E$513,3,FALSE)</f>
        <v>2B</v>
      </c>
    </row>
    <row r="180" spans="1:6" ht="15.6" x14ac:dyDescent="0.3">
      <c r="A180" s="25"/>
      <c r="B180" s="7">
        <v>59</v>
      </c>
      <c r="C180" s="12"/>
      <c r="D180" s="14">
        <v>2442</v>
      </c>
      <c r="E180" s="10" t="str">
        <f>VLOOKUP(D180,'[1]DATA BASE SANTRI'!C3:E513,2,FALSE)</f>
        <v>BIDARI NAMIAH CELLAATI</v>
      </c>
      <c r="F180" s="11" t="str">
        <f>VLOOKUP(D180,'[1]DATA BASE SANTRI'!C3:E513,3,FALSE)</f>
        <v>1B</v>
      </c>
    </row>
    <row r="181" spans="1:6" ht="15.6" x14ac:dyDescent="0.3">
      <c r="A181" s="25"/>
      <c r="B181" s="13">
        <v>60</v>
      </c>
      <c r="C181" s="12"/>
      <c r="D181" s="14">
        <v>2463</v>
      </c>
      <c r="E181" s="10" t="str">
        <f>VLOOKUP(D181,'[1]DATA BASE SANTRI'!C4:E514,2,FALSE)</f>
        <v>KEARA FAHIRA NAUVALYN</v>
      </c>
      <c r="F181" s="11" t="str">
        <f>VLOOKUP(D181,'[1]DATA BASE SANTRI'!C4:E514,3,FALSE)</f>
        <v>1B</v>
      </c>
    </row>
    <row r="182" spans="1:6" ht="15.6" x14ac:dyDescent="0.3">
      <c r="A182" s="25"/>
      <c r="B182" s="7">
        <v>61</v>
      </c>
      <c r="C182" s="12"/>
      <c r="D182" s="14">
        <v>2503</v>
      </c>
      <c r="E182" s="10" t="str">
        <f>VLOOKUP(D182,'[1]DATA BASE SANTRI'!C5:E515,2,FALSE)</f>
        <v>SYIFA NAJMA RAMADHANI</v>
      </c>
      <c r="F182" s="11" t="str">
        <f>VLOOKUP(D182,'[1]DATA BASE SANTRI'!C5:E515,3,FALSE)</f>
        <v>1B</v>
      </c>
    </row>
    <row r="183" spans="1:6" ht="15.6" x14ac:dyDescent="0.3">
      <c r="A183" s="26"/>
      <c r="B183" s="7">
        <v>62</v>
      </c>
      <c r="C183" s="12"/>
      <c r="D183" s="14">
        <v>2475</v>
      </c>
      <c r="E183" s="10" t="str">
        <f>VLOOKUP(D183,'[1]DATA BASE SANTRI'!C6:E516,2,FALSE)</f>
        <v>MUHAMMAD MIFZAL KAFEEL ALFARIZQI</v>
      </c>
      <c r="F183" s="11" t="str">
        <f>VLOOKUP(D183,'[1]DATA BASE SANTRI'!C6:E516,3,FALSE)</f>
        <v>1C</v>
      </c>
    </row>
    <row r="184" spans="1:6" ht="15.45" customHeight="1" x14ac:dyDescent="0.3">
      <c r="A184" s="27" t="s">
        <v>9</v>
      </c>
      <c r="B184" s="13">
        <v>1</v>
      </c>
      <c r="C184" s="13">
        <v>1</v>
      </c>
      <c r="D184" s="15">
        <v>2404</v>
      </c>
      <c r="E184" s="10" t="str">
        <f>VLOOKUP(D184,'[1]DATA BASE SANTRI'!$C$91:$E$513,2,FALSE)</f>
        <v>Qaireen Arsyila Shanum</v>
      </c>
      <c r="F184" s="11" t="str">
        <f>VLOOKUP(D184,'[1]DATA BASE SANTRI'!$C$91:$E$513,3,FALSE)</f>
        <v>2B</v>
      </c>
    </row>
    <row r="185" spans="1:6" ht="15.6" x14ac:dyDescent="0.3">
      <c r="A185" s="28"/>
      <c r="B185" s="13">
        <v>2</v>
      </c>
      <c r="C185" s="13">
        <v>2</v>
      </c>
      <c r="D185" s="15">
        <v>2406</v>
      </c>
      <c r="E185" s="10" t="str">
        <f>VLOOKUP(D185,'[1]DATA BASE SANTRI'!$C$91:$E$513,2,FALSE)</f>
        <v>Rafaizan Kenji Widianto</v>
      </c>
      <c r="F185" s="11" t="str">
        <f>VLOOKUP(D185,'[1]DATA BASE SANTRI'!$C$91:$E$513,3,FALSE)</f>
        <v>2B</v>
      </c>
    </row>
    <row r="186" spans="1:6" ht="15.6" x14ac:dyDescent="0.3">
      <c r="A186" s="28"/>
      <c r="B186" s="13">
        <v>3</v>
      </c>
      <c r="C186" s="13">
        <v>3</v>
      </c>
      <c r="D186" s="15">
        <v>2335</v>
      </c>
      <c r="E186" s="10" t="str">
        <f>VLOOKUP(D186,'[1]DATA BASE SANTRI'!$C$91:$E$513,2,FALSE)</f>
        <v>Almeera Azzahra Alfathunnisa</v>
      </c>
      <c r="F186" s="11" t="str">
        <f>VLOOKUP(D186,'[1]DATA BASE SANTRI'!$C$91:$E$513,3,FALSE)</f>
        <v>2B</v>
      </c>
    </row>
    <row r="187" spans="1:6" ht="15.6" x14ac:dyDescent="0.3">
      <c r="A187" s="28"/>
      <c r="B187" s="13">
        <v>4</v>
      </c>
      <c r="C187" s="13">
        <v>4</v>
      </c>
      <c r="D187" s="15">
        <v>2354</v>
      </c>
      <c r="E187" s="10" t="str">
        <f>VLOOKUP(D187,'[1]DATA BASE SANTRI'!$C$91:$E$513,2,FALSE)</f>
        <v>Embun Aldira Syaltri Kurniawan</v>
      </c>
      <c r="F187" s="11" t="str">
        <f>VLOOKUP(D187,'[1]DATA BASE SANTRI'!$C$91:$E$513,3,FALSE)</f>
        <v>2B</v>
      </c>
    </row>
    <row r="188" spans="1:6" ht="15.75" customHeight="1" x14ac:dyDescent="0.3">
      <c r="A188" s="28"/>
      <c r="B188" s="13">
        <v>5</v>
      </c>
      <c r="C188" s="13">
        <v>5</v>
      </c>
      <c r="D188" s="16">
        <v>2373</v>
      </c>
      <c r="E188" s="10" t="str">
        <f>VLOOKUP(D188,'[1]DATA BASE SANTRI'!$C$91:$E$513,2,FALSE)</f>
        <v>Kiara Ralinka Chelsea Nadinsyah</v>
      </c>
      <c r="F188" s="11" t="str">
        <f>VLOOKUP(D188,'[1]DATA BASE SANTRI'!$C$91:$E$513,3,FALSE)</f>
        <v>2B</v>
      </c>
    </row>
    <row r="189" spans="1:6" ht="15.75" customHeight="1" x14ac:dyDescent="0.3">
      <c r="A189" s="28"/>
      <c r="B189" s="13">
        <v>6</v>
      </c>
      <c r="C189" s="13">
        <v>6</v>
      </c>
      <c r="D189" s="15">
        <v>2326</v>
      </c>
      <c r="E189" s="10" t="str">
        <f>VLOOKUP(D189,'[1]DATA BASE SANTRI'!$C$91:$E$513,2,FALSE)</f>
        <v>Achmad Zein Al Fatih</v>
      </c>
      <c r="F189" s="11" t="str">
        <f>VLOOKUP(D189,'[1]DATA BASE SANTRI'!$C$91:$E$513,3,FALSE)</f>
        <v>2C</v>
      </c>
    </row>
    <row r="190" spans="1:6" ht="15.75" customHeight="1" x14ac:dyDescent="0.3">
      <c r="A190" s="28"/>
      <c r="B190" s="13">
        <v>7</v>
      </c>
      <c r="C190" s="13">
        <v>7</v>
      </c>
      <c r="D190" s="15">
        <v>2386</v>
      </c>
      <c r="E190" s="10" t="str">
        <f>VLOOKUP(D190,'[1]DATA BASE SANTRI'!$C$91:$E$513,2,FALSE)</f>
        <v>Muhammad Azzam Izzulhaq</v>
      </c>
      <c r="F190" s="11" t="str">
        <f>VLOOKUP(D190,'[1]DATA BASE SANTRI'!$C$91:$E$513,3,FALSE)</f>
        <v>2C</v>
      </c>
    </row>
    <row r="191" spans="1:6" ht="15.75" customHeight="1" x14ac:dyDescent="0.3">
      <c r="A191" s="28"/>
      <c r="B191" s="13">
        <v>8</v>
      </c>
      <c r="C191" s="13">
        <v>8</v>
      </c>
      <c r="D191" s="15">
        <v>2393</v>
      </c>
      <c r="E191" s="10" t="str">
        <f>VLOOKUP(D191,'[1]DATA BASE SANTRI'!$C$91:$E$513,2,FALSE)</f>
        <v>Muhammad Husein Asy'arii</v>
      </c>
      <c r="F191" s="11" t="str">
        <f>VLOOKUP(D191,'[1]DATA BASE SANTRI'!$C$91:$E$513,3,FALSE)</f>
        <v>2C</v>
      </c>
    </row>
    <row r="192" spans="1:6" ht="15.75" customHeight="1" x14ac:dyDescent="0.3">
      <c r="A192" s="28"/>
      <c r="B192" s="13">
        <v>9</v>
      </c>
      <c r="C192" s="13">
        <v>9</v>
      </c>
      <c r="D192" s="15">
        <v>2395</v>
      </c>
      <c r="E192" s="10" t="str">
        <f>VLOOKUP(D192,'[1]DATA BASE SANTRI'!$C$91:$E$513,2,FALSE)</f>
        <v>Muhammad Rayyan Alfarezi</v>
      </c>
      <c r="F192" s="11" t="str">
        <f>VLOOKUP(D192,'[1]DATA BASE SANTRI'!$C$91:$E$513,3,FALSE)</f>
        <v>2C</v>
      </c>
    </row>
    <row r="193" spans="1:6" ht="15.75" customHeight="1" x14ac:dyDescent="0.3">
      <c r="A193" s="28"/>
      <c r="B193" s="13">
        <v>10</v>
      </c>
      <c r="C193" s="13">
        <v>10</v>
      </c>
      <c r="D193" s="15">
        <v>2284</v>
      </c>
      <c r="E193" s="10" t="str">
        <f>VLOOKUP(D193,'[1]DATA BASE SANTRI'!$C$91:$E$513,2,FALSE)</f>
        <v>M. Reynan Azka Satria Putra</v>
      </c>
      <c r="F193" s="11" t="str">
        <f>VLOOKUP(D193,'[1]DATA BASE SANTRI'!$C$91:$E$513,3,FALSE)</f>
        <v>3A</v>
      </c>
    </row>
    <row r="194" spans="1:6" ht="15.75" customHeight="1" x14ac:dyDescent="0.3">
      <c r="A194" s="28"/>
      <c r="B194" s="13">
        <v>11</v>
      </c>
      <c r="C194" s="13">
        <v>11</v>
      </c>
      <c r="D194" s="15">
        <v>2236</v>
      </c>
      <c r="E194" s="10" t="str">
        <f>VLOOKUP(D194,'[1]DATA BASE SANTRI'!$C$91:$E$513,2,FALSE)</f>
        <v>Ahmad Salim Azzamy</v>
      </c>
      <c r="F194" s="11" t="str">
        <f>VLOOKUP(D194,'[1]DATA BASE SANTRI'!$C$91:$E$513,3,FALSE)</f>
        <v>3A</v>
      </c>
    </row>
    <row r="195" spans="1:6" ht="15.75" customHeight="1" x14ac:dyDescent="0.3">
      <c r="A195" s="28"/>
      <c r="B195" s="13">
        <v>12</v>
      </c>
      <c r="C195" s="13">
        <v>12</v>
      </c>
      <c r="D195" s="15">
        <v>2250</v>
      </c>
      <c r="E195" s="10" t="str">
        <f>VLOOKUP(D195,'[1]DATA BASE SANTRI'!$C$91:$E$513,2,FALSE)</f>
        <v>Ashalina Fauza</v>
      </c>
      <c r="F195" s="11" t="str">
        <f>VLOOKUP(D195,'[1]DATA BASE SANTRI'!$C$91:$E$513,3,FALSE)</f>
        <v>3A</v>
      </c>
    </row>
    <row r="196" spans="1:6" ht="15.75" customHeight="1" x14ac:dyDescent="0.3">
      <c r="A196" s="28"/>
      <c r="B196" s="13">
        <v>13</v>
      </c>
      <c r="C196" s="13">
        <v>13</v>
      </c>
      <c r="D196" s="15">
        <v>2287</v>
      </c>
      <c r="E196" s="10" t="str">
        <f>VLOOKUP(D196,'[1]DATA BASE SANTRI'!$C$91:$E$513,2,FALSE)</f>
        <v>Muhammad  Affan El Othman</v>
      </c>
      <c r="F196" s="11" t="str">
        <f>VLOOKUP(D196,'[1]DATA BASE SANTRI'!$C$91:$E$513,3,FALSE)</f>
        <v>3A</v>
      </c>
    </row>
    <row r="197" spans="1:6" ht="15.75" customHeight="1" x14ac:dyDescent="0.3">
      <c r="A197" s="28"/>
      <c r="B197" s="13">
        <v>14</v>
      </c>
      <c r="C197" s="13">
        <v>14</v>
      </c>
      <c r="D197" s="12">
        <v>2303</v>
      </c>
      <c r="E197" s="10" t="str">
        <f>VLOOKUP(D197,'[1]DATA BASE SANTRI'!$C$91:$E$513,2,FALSE)</f>
        <v>Queen Mikhayla Putri Susanto</v>
      </c>
      <c r="F197" s="11" t="str">
        <f>VLOOKUP(D197,'[1]DATA BASE SANTRI'!$C$91:$E$513,3,FALSE)</f>
        <v>3B</v>
      </c>
    </row>
    <row r="198" spans="1:6" ht="15.75" customHeight="1" x14ac:dyDescent="0.3">
      <c r="A198" s="28"/>
      <c r="B198" s="13">
        <v>15</v>
      </c>
      <c r="C198" s="13">
        <v>15</v>
      </c>
      <c r="D198" s="15">
        <v>2315</v>
      </c>
      <c r="E198" s="10" t="str">
        <f>VLOOKUP(D198,'[1]DATA BASE SANTRI'!$C$91:$E$513,2,FALSE)</f>
        <v>Shaqueena Rifsha</v>
      </c>
      <c r="F198" s="11" t="str">
        <f>VLOOKUP(D198,'[1]DATA BASE SANTRI'!$C$91:$E$513,3,FALSE)</f>
        <v>3C</v>
      </c>
    </row>
    <row r="199" spans="1:6" ht="15.75" customHeight="1" x14ac:dyDescent="0.3">
      <c r="A199" s="28"/>
      <c r="B199" s="13">
        <v>16</v>
      </c>
      <c r="C199" s="13">
        <v>16</v>
      </c>
      <c r="D199" s="15">
        <v>2294</v>
      </c>
      <c r="E199" s="10" t="str">
        <f>VLOOKUP(D199,'[1]DATA BASE SANTRI'!$C$91:$E$513,2,FALSE)</f>
        <v>Muhammad Arsya Al Faheem</v>
      </c>
      <c r="F199" s="11" t="str">
        <f>VLOOKUP(D199,'[1]DATA BASE SANTRI'!$C$91:$E$513,3,FALSE)</f>
        <v>3C</v>
      </c>
    </row>
    <row r="200" spans="1:6" ht="15.75" customHeight="1" x14ac:dyDescent="0.3">
      <c r="A200" s="28"/>
      <c r="B200" s="13">
        <v>17</v>
      </c>
      <c r="C200" s="13">
        <v>17</v>
      </c>
      <c r="D200" s="15">
        <v>2261</v>
      </c>
      <c r="E200" s="10" t="str">
        <f>VLOOKUP(D200,'[1]DATA BASE SANTRI'!$C$91:$E$513,2,FALSE)</f>
        <v>Clarissa Hasya Azkayra</v>
      </c>
      <c r="F200" s="11" t="str">
        <f>VLOOKUP(D200,'[1]DATA BASE SANTRI'!$C$91:$E$513,3,FALSE)</f>
        <v>3C</v>
      </c>
    </row>
    <row r="201" spans="1:6" ht="15.75" customHeight="1" x14ac:dyDescent="0.3">
      <c r="A201" s="28"/>
      <c r="B201" s="13">
        <v>18</v>
      </c>
      <c r="C201" s="13">
        <v>18</v>
      </c>
      <c r="D201" s="15">
        <v>2216</v>
      </c>
      <c r="E201" s="10" t="str">
        <f>VLOOKUP(D201,'[1]DATA BASE SANTRI'!$C$91:$E$513,2,FALSE)</f>
        <v>Shann Danendra Arjunadi Pakaya</v>
      </c>
      <c r="F201" s="11" t="str">
        <f>VLOOKUP(D201,'[1]DATA BASE SANTRI'!$C$91:$E$513,3,FALSE)</f>
        <v>4A</v>
      </c>
    </row>
    <row r="202" spans="1:6" ht="15.75" customHeight="1" x14ac:dyDescent="0.3">
      <c r="A202" s="28"/>
      <c r="B202" s="13">
        <v>19</v>
      </c>
      <c r="C202" s="13">
        <v>19</v>
      </c>
      <c r="D202" s="15">
        <v>2164</v>
      </c>
      <c r="E202" s="10" t="str">
        <f>VLOOKUP(D202,'[1]DATA BASE SANTRI'!$C$91:$E$513,2,FALSE)</f>
        <v>Dianysha Fitra Azzahra</v>
      </c>
      <c r="F202" s="11" t="str">
        <f>VLOOKUP(D202,'[1]DATA BASE SANTRI'!$C$91:$E$513,3,FALSE)</f>
        <v>4A</v>
      </c>
    </row>
    <row r="203" spans="1:6" ht="15.75" customHeight="1" x14ac:dyDescent="0.3">
      <c r="A203" s="28"/>
      <c r="B203" s="13">
        <v>20</v>
      </c>
      <c r="C203" s="13">
        <v>20</v>
      </c>
      <c r="D203" s="15">
        <v>2196</v>
      </c>
      <c r="E203" s="10" t="str">
        <f>VLOOKUP(D203,'[1]DATA BASE SANTRI'!$C$91:$E$513,2,FALSE)</f>
        <v>Nafeeza Usha Qirani</v>
      </c>
      <c r="F203" s="11" t="str">
        <f>VLOOKUP(D203,'[1]DATA BASE SANTRI'!$C$91:$E$513,3,FALSE)</f>
        <v>4B</v>
      </c>
    </row>
    <row r="204" spans="1:6" ht="15.75" customHeight="1" x14ac:dyDescent="0.3">
      <c r="A204" s="28"/>
      <c r="B204" s="13">
        <v>21</v>
      </c>
      <c r="C204" s="13">
        <v>21</v>
      </c>
      <c r="D204" s="15">
        <v>2205</v>
      </c>
      <c r="E204" s="10" t="str">
        <f>VLOOKUP(D204,'[1]DATA BASE SANTRI'!$C$91:$E$513,2,FALSE)</f>
        <v>Raisa Shareefa Hafizhah</v>
      </c>
      <c r="F204" s="11" t="str">
        <f>VLOOKUP(D204,'[1]DATA BASE SANTRI'!$C$91:$E$513,3,FALSE)</f>
        <v>4C</v>
      </c>
    </row>
    <row r="205" spans="1:6" ht="15.75" customHeight="1" x14ac:dyDescent="0.3">
      <c r="A205" s="28"/>
      <c r="B205" s="13">
        <v>22</v>
      </c>
      <c r="C205" s="13">
        <v>22</v>
      </c>
      <c r="D205" s="12">
        <v>2088</v>
      </c>
      <c r="E205" s="10" t="str">
        <f>VLOOKUP(D205,'[1]DATA BASE SANTRI'!$C$91:$E$513,2,FALSE)</f>
        <v>Mirza Sadat Arrafi</v>
      </c>
      <c r="F205" s="11" t="str">
        <f>VLOOKUP(D205,'[1]DATA BASE SANTRI'!$C$91:$E$513,3,FALSE)</f>
        <v>5A</v>
      </c>
    </row>
    <row r="206" spans="1:6" ht="15.75" customHeight="1" x14ac:dyDescent="0.3">
      <c r="A206" s="28"/>
      <c r="B206" s="13">
        <v>23</v>
      </c>
      <c r="C206" s="13">
        <v>23</v>
      </c>
      <c r="D206" s="15">
        <v>2062</v>
      </c>
      <c r="E206" s="10" t="str">
        <f>VLOOKUP(D206,'[1]DATA BASE SANTRI'!$C$91:$E$513,2,FALSE)</f>
        <v>Cherryl Azzahra Agung</v>
      </c>
      <c r="F206" s="11" t="str">
        <f>VLOOKUP(D206,'[1]DATA BASE SANTRI'!$C$91:$E$513,3,FALSE)</f>
        <v>5A</v>
      </c>
    </row>
    <row r="207" spans="1:6" ht="15.75" customHeight="1" x14ac:dyDescent="0.3">
      <c r="A207" s="28"/>
      <c r="B207" s="13">
        <v>24</v>
      </c>
      <c r="C207" s="13">
        <v>24</v>
      </c>
      <c r="D207" s="12">
        <v>2046</v>
      </c>
      <c r="E207" s="10" t="str">
        <f>VLOOKUP(D207,'[1]DATA BASE SANTRI'!$C$91:$E$513,2,FALSE)</f>
        <v>Aisyah Malikah An Nabilah</v>
      </c>
      <c r="F207" s="11" t="str">
        <f>VLOOKUP(D207,'[1]DATA BASE SANTRI'!$C$91:$E$513,3,FALSE)</f>
        <v>5B</v>
      </c>
    </row>
    <row r="208" spans="1:6" ht="15.75" customHeight="1" x14ac:dyDescent="0.3">
      <c r="A208" s="28"/>
      <c r="B208" s="13">
        <v>25</v>
      </c>
      <c r="C208" s="13">
        <v>25</v>
      </c>
      <c r="D208" s="15">
        <v>2119</v>
      </c>
      <c r="E208" s="10" t="str">
        <f>VLOOKUP(D208,'[1]DATA BASE SANTRI'!$C$91:$E$513,2,FALSE)</f>
        <v>Tsabita Almeera Rizqi Delphine</v>
      </c>
      <c r="F208" s="11" t="str">
        <f>VLOOKUP(D208,'[1]DATA BASE SANTRI'!$C$91:$E$513,3,FALSE)</f>
        <v>5B</v>
      </c>
    </row>
    <row r="209" spans="1:6" ht="15.75" customHeight="1" x14ac:dyDescent="0.3">
      <c r="A209" s="28"/>
      <c r="B209" s="13">
        <v>26</v>
      </c>
      <c r="C209" s="13">
        <v>26</v>
      </c>
      <c r="D209" s="15">
        <v>2085</v>
      </c>
      <c r="E209" s="10" t="str">
        <f>VLOOKUP(D209,'[1]DATA BASE SANTRI'!$C$91:$E$513,2,FALSE)</f>
        <v>Lintang Kinarian Eiliyah Luviantmy</v>
      </c>
      <c r="F209" s="11" t="str">
        <f>VLOOKUP(D209,'[1]DATA BASE SANTRI'!$C$91:$E$513,3,FALSE)</f>
        <v>5B</v>
      </c>
    </row>
    <row r="210" spans="1:6" ht="15.75" customHeight="1" x14ac:dyDescent="0.3">
      <c r="A210" s="28"/>
      <c r="B210" s="13">
        <v>27</v>
      </c>
      <c r="C210" s="13">
        <v>27</v>
      </c>
      <c r="D210" s="15">
        <v>2060</v>
      </c>
      <c r="E210" s="10" t="str">
        <f>VLOOKUP(D210,'[1]DATA BASE SANTRI'!$C$91:$E$513,2,FALSE)</f>
        <v>Azmira Sakha Rizanna</v>
      </c>
      <c r="F210" s="11" t="str">
        <f>VLOOKUP(D210,'[1]DATA BASE SANTRI'!$C$91:$E$513,3,FALSE)</f>
        <v>5C</v>
      </c>
    </row>
    <row r="211" spans="1:6" ht="15.75" customHeight="1" x14ac:dyDescent="0.3">
      <c r="A211" s="28"/>
      <c r="B211" s="13">
        <v>28</v>
      </c>
      <c r="C211" s="13">
        <v>28</v>
      </c>
      <c r="D211" s="15">
        <v>1961</v>
      </c>
      <c r="E211" s="10" t="str">
        <f>VLOOKUP(D211,'[1]DATA BASE SANTRI'!$C$91:$E$513,2,FALSE)</f>
        <v>Ahsabur Ramdhan Al fatih</v>
      </c>
      <c r="F211" s="11" t="str">
        <f>VLOOKUP(D211,'[1]DATA BASE SANTRI'!$C$91:$E$513,3,FALSE)</f>
        <v>6A</v>
      </c>
    </row>
    <row r="212" spans="1:6" ht="15.75" customHeight="1" x14ac:dyDescent="0.3">
      <c r="A212" s="28"/>
      <c r="B212" s="13">
        <v>29</v>
      </c>
      <c r="C212" s="13">
        <v>1</v>
      </c>
      <c r="D212" s="15">
        <v>2415</v>
      </c>
      <c r="E212" s="10" t="str">
        <f>VLOOKUP(D212,'[1]DATA BASE SANTRI'!$C$91:$E$513,2,FALSE)</f>
        <v>Syafira Lubna Ainul Afifah</v>
      </c>
      <c r="F212" s="11" t="str">
        <f>VLOOKUP(D212,'[1]DATA BASE SANTRI'!$C$91:$E$513,3,FALSE)</f>
        <v>2B</v>
      </c>
    </row>
    <row r="213" spans="1:6" ht="15.75" customHeight="1" x14ac:dyDescent="0.3">
      <c r="A213" s="28"/>
      <c r="B213" s="13">
        <v>30</v>
      </c>
      <c r="C213" s="13">
        <v>2</v>
      </c>
      <c r="D213" s="15">
        <v>2417</v>
      </c>
      <c r="E213" s="10" t="str">
        <f>VLOOKUP(D213,'[1]DATA BASE SANTRI'!$C$91:$E$513,2,FALSE)</f>
        <v>Tisha Karima Firdausi</v>
      </c>
      <c r="F213" s="11" t="str">
        <f>VLOOKUP(D213,'[1]DATA BASE SANTRI'!$C$91:$E$513,3,FALSE)</f>
        <v>2B</v>
      </c>
    </row>
    <row r="214" spans="1:6" ht="15.75" customHeight="1" x14ac:dyDescent="0.3">
      <c r="A214" s="28"/>
      <c r="B214" s="13">
        <v>31</v>
      </c>
      <c r="C214" s="13">
        <v>3</v>
      </c>
      <c r="D214" s="15">
        <v>2331</v>
      </c>
      <c r="E214" s="10" t="str">
        <f>VLOOKUP(D214,'[1]DATA BASE SANTRI'!$C$91:$E$513,2,FALSE)</f>
        <v>Aisyah Madaniyah</v>
      </c>
      <c r="F214" s="11" t="str">
        <f>VLOOKUP(D214,'[1]DATA BASE SANTRI'!$C$91:$E$513,3,FALSE)</f>
        <v>2B</v>
      </c>
    </row>
    <row r="215" spans="1:6" ht="15.75" customHeight="1" x14ac:dyDescent="0.3">
      <c r="A215" s="28"/>
      <c r="B215" s="13">
        <v>32</v>
      </c>
      <c r="C215" s="13">
        <v>4</v>
      </c>
      <c r="D215" s="16">
        <v>2380</v>
      </c>
      <c r="E215" s="10" t="str">
        <f>VLOOKUP(D215,'[1]DATA BASE SANTRI'!$C$91:$E$513,2,FALSE)</f>
        <v>Medina Dazlin Darsono</v>
      </c>
      <c r="F215" s="11" t="str">
        <f>VLOOKUP(D215,'[1]DATA BASE SANTRI'!$C$91:$E$513,3,FALSE)</f>
        <v>2B</v>
      </c>
    </row>
    <row r="216" spans="1:6" ht="15.75" customHeight="1" x14ac:dyDescent="0.3">
      <c r="A216" s="28"/>
      <c r="B216" s="13">
        <v>33</v>
      </c>
      <c r="C216" s="13">
        <v>5</v>
      </c>
      <c r="D216" s="16">
        <v>2337</v>
      </c>
      <c r="E216" s="10" t="str">
        <f>VLOOKUP(D216,'[1]DATA BASE SANTRI'!$C$91:$E$513,2,FALSE)</f>
        <v>Aradea Orlin Myesha</v>
      </c>
      <c r="F216" s="11" t="str">
        <f>VLOOKUP(D216,'[1]DATA BASE SANTRI'!$C$91:$E$513,3,FALSE)</f>
        <v>2C</v>
      </c>
    </row>
    <row r="217" spans="1:6" ht="15.75" customHeight="1" x14ac:dyDescent="0.3">
      <c r="A217" s="28"/>
      <c r="B217" s="13">
        <v>34</v>
      </c>
      <c r="C217" s="13">
        <v>6</v>
      </c>
      <c r="D217" s="15">
        <v>2342</v>
      </c>
      <c r="E217" s="10" t="str">
        <f>VLOOKUP(D217,'[1]DATA BASE SANTRI'!$C$91:$E$513,2,FALSE)</f>
        <v>Ayesha Shanum Permana</v>
      </c>
      <c r="F217" s="11" t="str">
        <f>VLOOKUP(D217,'[1]DATA BASE SANTRI'!$C$91:$E$513,3,FALSE)</f>
        <v>2C</v>
      </c>
    </row>
    <row r="218" spans="1:6" ht="15.75" customHeight="1" x14ac:dyDescent="0.3">
      <c r="A218" s="28"/>
      <c r="B218" s="13">
        <v>35</v>
      </c>
      <c r="C218" s="13">
        <v>7</v>
      </c>
      <c r="D218" s="15">
        <v>2348</v>
      </c>
      <c r="E218" s="10" t="str">
        <f>VLOOKUP(D218,'[1]DATA BASE SANTRI'!$C$91:$E$513,2,FALSE)</f>
        <v>Bellvania Fahima Defne Banafsha</v>
      </c>
      <c r="F218" s="11" t="str">
        <f>VLOOKUP(D218,'[1]DATA BASE SANTRI'!$C$91:$E$513,3,FALSE)</f>
        <v>2C</v>
      </c>
    </row>
    <row r="219" spans="1:6" ht="15.75" customHeight="1" x14ac:dyDescent="0.3">
      <c r="A219" s="28"/>
      <c r="B219" s="13">
        <v>36</v>
      </c>
      <c r="C219" s="13">
        <v>8</v>
      </c>
      <c r="D219" s="12">
        <v>2306</v>
      </c>
      <c r="E219" s="10" t="str">
        <f>VLOOKUP(D219,'[1]DATA BASE SANTRI'!$C$91:$E$513,2,FALSE)</f>
        <v>Rezayan Qolbi</v>
      </c>
      <c r="F219" s="11" t="str">
        <f>VLOOKUP(D219,'[1]DATA BASE SANTRI'!$C$91:$E$513,3,FALSE)</f>
        <v>3A</v>
      </c>
    </row>
    <row r="220" spans="1:6" ht="15.75" customHeight="1" x14ac:dyDescent="0.3">
      <c r="A220" s="28"/>
      <c r="B220" s="13">
        <v>37</v>
      </c>
      <c r="C220" s="13">
        <v>9</v>
      </c>
      <c r="D220" s="15">
        <v>2235</v>
      </c>
      <c r="E220" s="10" t="str">
        <f>VLOOKUP(D220,'[1]DATA BASE SANTRI'!$C$91:$E$513,2,FALSE)</f>
        <v xml:space="preserve">Ahmad Rizky Zainul Arif </v>
      </c>
      <c r="F220" s="11" t="str">
        <f>VLOOKUP(D220,'[1]DATA BASE SANTRI'!$C$91:$E$513,3,FALSE)</f>
        <v>3A</v>
      </c>
    </row>
    <row r="221" spans="1:6" ht="15.75" customHeight="1" x14ac:dyDescent="0.3">
      <c r="A221" s="28"/>
      <c r="B221" s="13">
        <v>38</v>
      </c>
      <c r="C221" s="13">
        <v>10</v>
      </c>
      <c r="D221" s="12">
        <v>2272</v>
      </c>
      <c r="E221" s="10" t="str">
        <f>VLOOKUP(D221,'[1]DATA BASE SANTRI'!$C$91:$E$513,2,FALSE)</f>
        <v>Hafshah Zaviera Permadi</v>
      </c>
      <c r="F221" s="11" t="str">
        <f>VLOOKUP(D221,'[1]DATA BASE SANTRI'!$C$91:$E$513,3,FALSE)</f>
        <v>3A</v>
      </c>
    </row>
    <row r="222" spans="1:6" ht="15.75" customHeight="1" x14ac:dyDescent="0.3">
      <c r="A222" s="28"/>
      <c r="B222" s="13">
        <v>39</v>
      </c>
      <c r="C222" s="13">
        <v>11</v>
      </c>
      <c r="D222" s="12">
        <v>2301</v>
      </c>
      <c r="E222" s="10" t="str">
        <f>VLOOKUP(D222,'[1]DATA BASE SANTRI'!$C$91:$E$513,2,FALSE)</f>
        <v>Noura Claresta Prasetyo</v>
      </c>
      <c r="F222" s="11" t="str">
        <f>VLOOKUP(D222,'[1]DATA BASE SANTRI'!$C$91:$E$513,3,FALSE)</f>
        <v>3B</v>
      </c>
    </row>
    <row r="223" spans="1:6" ht="15.75" customHeight="1" x14ac:dyDescent="0.3">
      <c r="A223" s="28"/>
      <c r="B223" s="13">
        <v>40</v>
      </c>
      <c r="C223" s="13">
        <v>12</v>
      </c>
      <c r="D223" s="15">
        <v>2320</v>
      </c>
      <c r="E223" s="10" t="str">
        <f>VLOOKUP(D223,'[1]DATA BASE SANTRI'!$C$91:$E$513,2,FALSE)</f>
        <v>Zhafran Elnath Saputra</v>
      </c>
      <c r="F223" s="11" t="str">
        <f>VLOOKUP(D223,'[1]DATA BASE SANTRI'!$C$91:$E$513,3,FALSE)</f>
        <v>3B</v>
      </c>
    </row>
    <row r="224" spans="1:6" ht="15.75" customHeight="1" x14ac:dyDescent="0.3">
      <c r="A224" s="28"/>
      <c r="B224" s="13">
        <v>41</v>
      </c>
      <c r="C224" s="13">
        <v>13</v>
      </c>
      <c r="D224" s="15">
        <v>2257</v>
      </c>
      <c r="E224" s="10" t="str">
        <f>VLOOKUP(D224,'[1]DATA BASE SANTRI'!$C$91:$E$513,2,FALSE)</f>
        <v>Caitlin Nazyaqueen Rahadian</v>
      </c>
      <c r="F224" s="11" t="str">
        <f>VLOOKUP(D224,'[1]DATA BASE SANTRI'!$C$91:$E$513,3,FALSE)</f>
        <v>3B</v>
      </c>
    </row>
    <row r="225" spans="1:6" ht="15.75" customHeight="1" x14ac:dyDescent="0.3">
      <c r="A225" s="28"/>
      <c r="B225" s="13">
        <v>42</v>
      </c>
      <c r="C225" s="13">
        <v>14</v>
      </c>
      <c r="D225" s="12">
        <v>2296</v>
      </c>
      <c r="E225" s="10" t="str">
        <f>VLOOKUP(D225,'[1]DATA BASE SANTRI'!$C$91:$E$513,2,FALSE)</f>
        <v>Muzakki Saka Ganis</v>
      </c>
      <c r="F225" s="11" t="str">
        <f>VLOOKUP(D225,'[1]DATA BASE SANTRI'!$C$91:$E$513,3,FALSE)</f>
        <v>3B</v>
      </c>
    </row>
    <row r="226" spans="1:6" ht="15.75" customHeight="1" x14ac:dyDescent="0.3">
      <c r="A226" s="28"/>
      <c r="B226" s="13">
        <v>43</v>
      </c>
      <c r="C226" s="13">
        <v>15</v>
      </c>
      <c r="D226" s="15">
        <v>2251</v>
      </c>
      <c r="E226" s="10" t="str">
        <f>VLOOKUP(D226,'[1]DATA BASE SANTRI'!$C$91:$E$513,2,FALSE)</f>
        <v>Ataya Ghali Alfarezel</v>
      </c>
      <c r="F226" s="11" t="str">
        <f>VLOOKUP(D226,'[1]DATA BASE SANTRI'!$C$91:$E$513,3,FALSE)</f>
        <v>3C</v>
      </c>
    </row>
    <row r="227" spans="1:6" ht="15.75" customHeight="1" x14ac:dyDescent="0.3">
      <c r="A227" s="28"/>
      <c r="B227" s="13">
        <v>44</v>
      </c>
      <c r="C227" s="13">
        <v>16</v>
      </c>
      <c r="D227" s="15">
        <v>2168</v>
      </c>
      <c r="E227" s="10" t="str">
        <f>VLOOKUP(D227,'[1]DATA BASE SANTRI'!$C$91:$E$513,2,FALSE)</f>
        <v>Fariz Mumtaz Husein</v>
      </c>
      <c r="F227" s="11" t="str">
        <f>VLOOKUP(D227,'[1]DATA BASE SANTRI'!$C$91:$E$513,3,FALSE)</f>
        <v>4A</v>
      </c>
    </row>
    <row r="228" spans="1:6" ht="15.75" customHeight="1" x14ac:dyDescent="0.3">
      <c r="A228" s="28"/>
      <c r="B228" s="13">
        <v>45</v>
      </c>
      <c r="C228" s="13">
        <v>17</v>
      </c>
      <c r="D228" s="12">
        <v>2156</v>
      </c>
      <c r="E228" s="10" t="str">
        <f>VLOOKUP(D228,'[1]DATA BASE SANTRI'!$C$91:$E$513,2,FALSE)</f>
        <v>Azharull Azmi Hermawan</v>
      </c>
      <c r="F228" s="11" t="str">
        <f>VLOOKUP(D228,'[1]DATA BASE SANTRI'!$C$91:$E$513,3,FALSE)</f>
        <v>4A</v>
      </c>
    </row>
    <row r="229" spans="1:6" ht="15.75" customHeight="1" x14ac:dyDescent="0.3">
      <c r="A229" s="28"/>
      <c r="B229" s="13">
        <v>46</v>
      </c>
      <c r="C229" s="13">
        <v>18</v>
      </c>
      <c r="D229" s="15">
        <v>2198</v>
      </c>
      <c r="E229" s="10" t="str">
        <f>VLOOKUP(D229,'[1]DATA BASE SANTRI'!$C$91:$E$534,2,FALSE)</f>
        <v>Nevan Alfaiq Balin</v>
      </c>
      <c r="F229" s="11" t="str">
        <f>VLOOKUP(D229,'[1]DATA BASE SANTRI'!$C$91:$E$513,3,FALSE)</f>
        <v>4B</v>
      </c>
    </row>
    <row r="230" spans="1:6" ht="15.75" customHeight="1" x14ac:dyDescent="0.3">
      <c r="A230" s="28"/>
      <c r="B230" s="13">
        <v>47</v>
      </c>
      <c r="C230" s="13">
        <v>19</v>
      </c>
      <c r="D230" s="12">
        <v>2217</v>
      </c>
      <c r="E230" s="10" t="str">
        <f>VLOOKUP(D230,'[1]DATA BASE SANTRI'!$C$91:$E$513,2,FALSE)</f>
        <v>Shakila Gavaputri Pratama</v>
      </c>
      <c r="F230" s="11" t="str">
        <f>VLOOKUP(D230,'[1]DATA BASE SANTRI'!$C$91:$E$513,3,FALSE)</f>
        <v>4B</v>
      </c>
    </row>
    <row r="231" spans="1:6" ht="15.75" customHeight="1" x14ac:dyDescent="0.3">
      <c r="A231" s="28"/>
      <c r="B231" s="13">
        <v>48</v>
      </c>
      <c r="C231" s="13">
        <v>20</v>
      </c>
      <c r="D231" s="15">
        <v>2223</v>
      </c>
      <c r="E231" s="10" t="str">
        <f>VLOOKUP(D231,'[1]DATA BASE SANTRI'!$C$91:$E$513,2,FALSE)</f>
        <v>Vladimir Latif Al Amin</v>
      </c>
      <c r="F231" s="11" t="str">
        <f>VLOOKUP(D231,'[1]DATA BASE SANTRI'!$C$91:$E$513,3,FALSE)</f>
        <v>4B</v>
      </c>
    </row>
    <row r="232" spans="1:6" ht="15.75" customHeight="1" x14ac:dyDescent="0.3">
      <c r="A232" s="28"/>
      <c r="B232" s="13">
        <v>49</v>
      </c>
      <c r="C232" s="13">
        <v>21</v>
      </c>
      <c r="D232" s="15">
        <v>2155</v>
      </c>
      <c r="E232" s="10" t="str">
        <f>VLOOKUP(D232,'[1]DATA BASE SANTRI'!$C$91:$E$513,2,FALSE)</f>
        <v>Attan Kenzie Balishaki</v>
      </c>
      <c r="F232" s="11" t="str">
        <f>VLOOKUP(D232,'[1]DATA BASE SANTRI'!$C$91:$E$513,3,FALSE)</f>
        <v>4B</v>
      </c>
    </row>
    <row r="233" spans="1:6" ht="15.75" customHeight="1" x14ac:dyDescent="0.3">
      <c r="A233" s="28"/>
      <c r="B233" s="13">
        <v>50</v>
      </c>
      <c r="C233" s="13">
        <v>22</v>
      </c>
      <c r="D233" s="12">
        <v>2199</v>
      </c>
      <c r="E233" s="10" t="str">
        <f>VLOOKUP(D233,'[1]DATA BASE SANTRI'!$C$91:$E$513,2,FALSE)</f>
        <v>Nolan Rostam Abdullah</v>
      </c>
      <c r="F233" s="11" t="str">
        <f>VLOOKUP(D233,'[1]DATA BASE SANTRI'!$C$91:$E$513,3,FALSE)</f>
        <v>4C</v>
      </c>
    </row>
    <row r="234" spans="1:6" ht="15.75" customHeight="1" x14ac:dyDescent="0.3">
      <c r="A234" s="28"/>
      <c r="B234" s="13">
        <v>51</v>
      </c>
      <c r="C234" s="13">
        <v>23</v>
      </c>
      <c r="D234" s="12">
        <v>2222</v>
      </c>
      <c r="E234" s="10" t="str">
        <f>VLOOKUP(D234,'[1]DATA BASE SANTRI'!$C$91:$E$513,2,FALSE)</f>
        <v>Virendra Athafariz Ariwijaya</v>
      </c>
      <c r="F234" s="11" t="str">
        <f>VLOOKUP(D234,'[1]DATA BASE SANTRI'!$C$91:$E$513,3,FALSE)</f>
        <v>4C</v>
      </c>
    </row>
    <row r="235" spans="1:6" ht="15.75" customHeight="1" x14ac:dyDescent="0.3">
      <c r="A235" s="28"/>
      <c r="B235" s="13">
        <v>52</v>
      </c>
      <c r="C235" s="13">
        <v>24</v>
      </c>
      <c r="D235" s="15">
        <v>2148</v>
      </c>
      <c r="E235" s="10" t="str">
        <f>VLOOKUP(D235,'[1]DATA BASE SANTRI'!$C$91:$E$513,2,FALSE)</f>
        <v>Anggi Eliana Sanjaya</v>
      </c>
      <c r="F235" s="11" t="str">
        <f>VLOOKUP(D235,'[1]DATA BASE SANTRI'!$C$91:$E$513,3,FALSE)</f>
        <v>4C</v>
      </c>
    </row>
    <row r="236" spans="1:6" ht="15.75" customHeight="1" x14ac:dyDescent="0.3">
      <c r="A236" s="28"/>
      <c r="B236" s="13">
        <v>53</v>
      </c>
      <c r="C236" s="13">
        <v>25</v>
      </c>
      <c r="D236" s="15">
        <v>2037</v>
      </c>
      <c r="E236" s="10" t="str">
        <f>VLOOKUP(D236,'[1]DATA BASE SANTRI'!$C$91:$E$513,2,FALSE)</f>
        <v>Adeeva Oriel Agristian</v>
      </c>
      <c r="F236" s="11" t="str">
        <f>VLOOKUP(D236,'[1]DATA BASE SANTRI'!$C$91:$E$513,3,FALSE)</f>
        <v>5A</v>
      </c>
    </row>
    <row r="237" spans="1:6" ht="15.75" customHeight="1" x14ac:dyDescent="0.3">
      <c r="A237" s="28"/>
      <c r="B237" s="13">
        <v>54</v>
      </c>
      <c r="C237" s="13">
        <v>26</v>
      </c>
      <c r="D237" s="15">
        <v>2050</v>
      </c>
      <c r="E237" s="10" t="str">
        <f>VLOOKUP(D237,'[1]DATA BASE SANTRI'!$C$91:$E$513,2,FALSE)</f>
        <v>Alifa Fikria Rabbani Ramadhani</v>
      </c>
      <c r="F237" s="11" t="str">
        <f>VLOOKUP(D237,'[1]DATA BASE SANTRI'!$C$91:$E$513,3,FALSE)</f>
        <v>5B</v>
      </c>
    </row>
    <row r="238" spans="1:6" ht="15.75" customHeight="1" x14ac:dyDescent="0.3">
      <c r="A238" s="28"/>
      <c r="B238" s="13">
        <v>55</v>
      </c>
      <c r="C238" s="13">
        <v>27</v>
      </c>
      <c r="D238" s="15">
        <v>2109</v>
      </c>
      <c r="E238" s="10" t="str">
        <f>VLOOKUP(D238,'[1]DATA BASE SANTRI'!$C$91:$E$513,2,FALSE)</f>
        <v>Rizky Putra Tirta Wijaya</v>
      </c>
      <c r="F238" s="11" t="str">
        <f>VLOOKUP(D238,'[1]DATA BASE SANTRI'!$C$91:$E$513,3,FALSE)</f>
        <v>5B</v>
      </c>
    </row>
    <row r="239" spans="1:6" ht="15.75" customHeight="1" x14ac:dyDescent="0.3">
      <c r="A239" s="28"/>
      <c r="B239" s="13">
        <v>56</v>
      </c>
      <c r="C239" s="13">
        <v>1</v>
      </c>
      <c r="D239" s="17">
        <v>2328</v>
      </c>
      <c r="E239" s="10" t="str">
        <f>VLOOKUP(D239,'[1]DATA BASE SANTRI'!$C$91:$E$513,2,FALSE)</f>
        <v>Adzkiya Hafshah Zhafirah</v>
      </c>
      <c r="F239" s="11" t="str">
        <f>VLOOKUP(D239,'[1]DATA BASE SANTRI'!$C$91:$E$513,3,FALSE)</f>
        <v>2A</v>
      </c>
    </row>
    <row r="240" spans="1:6" ht="15.75" customHeight="1" x14ac:dyDescent="0.3">
      <c r="A240" s="28"/>
      <c r="B240" s="13">
        <v>57</v>
      </c>
      <c r="C240" s="13">
        <v>2</v>
      </c>
      <c r="D240" s="17">
        <v>2339</v>
      </c>
      <c r="E240" s="10" t="str">
        <f>VLOOKUP(D240,'[1]DATA BASE SANTRI'!$C$91:$E$513,2,FALSE)</f>
        <v>Arkananta Arif Argatsani</v>
      </c>
      <c r="F240" s="11" t="str">
        <f>VLOOKUP(D240,'[1]DATA BASE SANTRI'!$C$91:$E$513,3,FALSE)</f>
        <v>2A</v>
      </c>
    </row>
    <row r="241" spans="1:6" ht="15.75" customHeight="1" x14ac:dyDescent="0.3">
      <c r="A241" s="28"/>
      <c r="B241" s="13">
        <v>58</v>
      </c>
      <c r="C241" s="13">
        <v>3</v>
      </c>
      <c r="D241" s="15">
        <v>2398</v>
      </c>
      <c r="E241" s="10" t="str">
        <f>VLOOKUP(D241,'[1]DATA BASE SANTRI'!$C$91:$E$513,2,FALSE)</f>
        <v>Mudzaffar Fandy Al-Aswin Putra Kurniawan</v>
      </c>
      <c r="F241" s="11" t="str">
        <f>VLOOKUP(D241,'[1]DATA BASE SANTRI'!$C$91:$E$513,3,FALSE)</f>
        <v>2A</v>
      </c>
    </row>
    <row r="242" spans="1:6" ht="15.75" customHeight="1" x14ac:dyDescent="0.3">
      <c r="A242" s="28"/>
      <c r="B242" s="13">
        <v>59</v>
      </c>
      <c r="C242" s="13">
        <v>4</v>
      </c>
      <c r="D242" s="15">
        <v>2391</v>
      </c>
      <c r="E242" s="10" t="str">
        <f>VLOOKUP(D242,'[1]DATA BASE SANTRI'!$C$91:$E$513,2,FALSE)</f>
        <v>Muhammad Gallendra Althario Radeva</v>
      </c>
      <c r="F242" s="11" t="str">
        <f>VLOOKUP(D242,'[1]DATA BASE SANTRI'!$C$91:$E$513,3,FALSE)</f>
        <v>2A</v>
      </c>
    </row>
    <row r="243" spans="1:6" ht="15.75" customHeight="1" x14ac:dyDescent="0.3">
      <c r="A243" s="28"/>
      <c r="B243" s="13">
        <v>60</v>
      </c>
      <c r="C243" s="13">
        <v>5</v>
      </c>
      <c r="D243" s="15">
        <v>2383</v>
      </c>
      <c r="E243" s="10" t="str">
        <f>VLOOKUP(D243,'[1]DATA BASE SANTRI'!$C$91:$E$513,2,FALSE)</f>
        <v>Muchammad Abizar Al Farizi Zulkarnaen</v>
      </c>
      <c r="F243" s="11" t="str">
        <f>VLOOKUP(D243,'[1]DATA BASE SANTRI'!$C$91:$E$513,3,FALSE)</f>
        <v>2B</v>
      </c>
    </row>
    <row r="244" spans="1:6" ht="15.75" customHeight="1" x14ac:dyDescent="0.3">
      <c r="A244" s="28"/>
      <c r="B244" s="13">
        <v>61</v>
      </c>
      <c r="C244" s="13">
        <v>6</v>
      </c>
      <c r="D244" s="15">
        <v>2392</v>
      </c>
      <c r="E244" s="10" t="str">
        <f>VLOOKUP(D244,'[1]DATA BASE SANTRI'!$C$91:$E$513,2,FALSE)</f>
        <v>Muhammad Hamish Farizi</v>
      </c>
      <c r="F244" s="11" t="str">
        <f>VLOOKUP(D244,'[1]DATA BASE SANTRI'!$C$91:$E$513,3,FALSE)</f>
        <v>2B</v>
      </c>
    </row>
    <row r="245" spans="1:6" ht="15.75" customHeight="1" x14ac:dyDescent="0.3">
      <c r="A245" s="28"/>
      <c r="B245" s="13">
        <v>62</v>
      </c>
      <c r="C245" s="13">
        <v>7</v>
      </c>
      <c r="D245" s="16">
        <v>2394</v>
      </c>
      <c r="E245" s="10" t="str">
        <f>VLOOKUP(D245,'[1]DATA BASE SANTRI'!$C$91:$E$513,2,FALSE)</f>
        <v>Muhammad Kenzo Zidni Mubarak</v>
      </c>
      <c r="F245" s="11" t="str">
        <f>VLOOKUP(D245,'[1]DATA BASE SANTRI'!$C$91:$E$513,3,FALSE)</f>
        <v>2B</v>
      </c>
    </row>
    <row r="246" spans="1:6" ht="15.75" customHeight="1" x14ac:dyDescent="0.3">
      <c r="A246" s="28"/>
      <c r="B246" s="13">
        <v>63</v>
      </c>
      <c r="C246" s="13">
        <v>8</v>
      </c>
      <c r="D246" s="15">
        <v>2330</v>
      </c>
      <c r="E246" s="10" t="str">
        <f>VLOOKUP(D246,'[1]DATA BASE SANTRI'!$C$91:$E$513,2,FALSE)</f>
        <v>Aghniya Almahira Syah Wahmuda</v>
      </c>
      <c r="F246" s="11" t="str">
        <f>VLOOKUP(D246,'[1]DATA BASE SANTRI'!$C$91:$E$513,3,FALSE)</f>
        <v>2C</v>
      </c>
    </row>
    <row r="247" spans="1:6" ht="15.75" customHeight="1" x14ac:dyDescent="0.3">
      <c r="A247" s="28"/>
      <c r="B247" s="13">
        <v>64</v>
      </c>
      <c r="C247" s="13">
        <v>9</v>
      </c>
      <c r="D247" s="15">
        <v>2309</v>
      </c>
      <c r="E247" s="10" t="str">
        <f>VLOOKUP(D247,'[1]DATA BASE SANTRI'!$C$91:$E$513,2,FALSE)</f>
        <v>Ryshaka Evanno Setiawan</v>
      </c>
      <c r="F247" s="11" t="str">
        <f>VLOOKUP(D247,'[1]DATA BASE SANTRI'!$C$91:$E$513,3,FALSE)</f>
        <v>3B</v>
      </c>
    </row>
    <row r="248" spans="1:6" ht="15.75" customHeight="1" x14ac:dyDescent="0.3">
      <c r="A248" s="28"/>
      <c r="B248" s="13">
        <v>65</v>
      </c>
      <c r="C248" s="13">
        <v>10</v>
      </c>
      <c r="D248" s="15">
        <v>2247</v>
      </c>
      <c r="E248" s="10" t="str">
        <f>VLOOKUP(D248,'[1]DATA BASE SANTRI'!$C$91:$E$513,2,FALSE)</f>
        <v>Arka Bhumi Ahmad</v>
      </c>
      <c r="F248" s="11" t="str">
        <f>VLOOKUP(D248,'[1]DATA BASE SANTRI'!$C$91:$E$513,3,FALSE)</f>
        <v>3C</v>
      </c>
    </row>
    <row r="249" spans="1:6" ht="15.75" customHeight="1" x14ac:dyDescent="0.3">
      <c r="A249" s="28"/>
      <c r="B249" s="13">
        <v>66</v>
      </c>
      <c r="C249" s="13">
        <v>11</v>
      </c>
      <c r="D249" s="12">
        <v>2249</v>
      </c>
      <c r="E249" s="10" t="str">
        <f>VLOOKUP(D249,'[1]DATA BASE SANTRI'!$C$91:$E$513,2,FALSE)</f>
        <v>Arzaquna Arif Pratama</v>
      </c>
      <c r="F249" s="11" t="str">
        <f>VLOOKUP(D249,'[1]DATA BASE SANTRI'!$C$91:$E$513,3,FALSE)</f>
        <v>3C</v>
      </c>
    </row>
    <row r="250" spans="1:6" ht="15.75" customHeight="1" x14ac:dyDescent="0.3">
      <c r="A250" s="28"/>
      <c r="B250" s="13">
        <v>67</v>
      </c>
      <c r="C250" s="13">
        <v>12</v>
      </c>
      <c r="D250" s="15">
        <v>2255</v>
      </c>
      <c r="E250" s="10" t="str">
        <f>VLOOKUP(D250,'[1]DATA BASE SANTRI'!$C$91:$E$513,2,FALSE)</f>
        <v>Azzalea Shagufta Khayru Akalanka</v>
      </c>
      <c r="F250" s="11" t="str">
        <f>VLOOKUP(D250,'[1]DATA BASE SANTRI'!$C$91:$E$513,3,FALSE)</f>
        <v>3C</v>
      </c>
    </row>
    <row r="251" spans="1:6" ht="15.75" customHeight="1" x14ac:dyDescent="0.3">
      <c r="A251" s="28"/>
      <c r="B251" s="13">
        <v>68</v>
      </c>
      <c r="C251" s="13">
        <v>13</v>
      </c>
      <c r="D251" s="15">
        <v>2264</v>
      </c>
      <c r="E251" s="10" t="str">
        <f>VLOOKUP(D251,'[1]DATA BASE SANTRI'!$C$91:$E$513,2,FALSE)</f>
        <v>Dheviana Chaya Ramadhani Putri</v>
      </c>
      <c r="F251" s="11" t="str">
        <f>VLOOKUP(D251,'[1]DATA BASE SANTRI'!$C$91:$E$513,3,FALSE)</f>
        <v>3C</v>
      </c>
    </row>
    <row r="252" spans="1:6" ht="15.75" customHeight="1" x14ac:dyDescent="0.3">
      <c r="A252" s="28"/>
      <c r="B252" s="13">
        <v>69</v>
      </c>
      <c r="C252" s="13">
        <v>14</v>
      </c>
      <c r="D252" s="12">
        <v>2270</v>
      </c>
      <c r="E252" s="10" t="str">
        <f>VLOOKUP(D252,'[1]DATA BASE SANTRI'!$C$91:$E$513,2,FALSE)</f>
        <v>Ghazi Attar Alhuda</v>
      </c>
      <c r="F252" s="11" t="str">
        <f>VLOOKUP(D252,'[1]DATA BASE SANTRI'!$C$91:$E$513,3,FALSE)</f>
        <v>3C</v>
      </c>
    </row>
    <row r="253" spans="1:6" ht="15.75" customHeight="1" x14ac:dyDescent="0.3">
      <c r="A253" s="28"/>
      <c r="B253" s="13">
        <v>70</v>
      </c>
      <c r="C253" s="13">
        <v>15</v>
      </c>
      <c r="D253" s="12">
        <v>2285</v>
      </c>
      <c r="E253" s="10" t="str">
        <f>VLOOKUP(D253,'[1]DATA BASE SANTRI'!$C$91:$E$513,2,FALSE)</f>
        <v>Mhd. Salman Nasution</v>
      </c>
      <c r="F253" s="11" t="str">
        <f>VLOOKUP(D253,'[1]DATA BASE SANTRI'!$C$91:$E$513,3,FALSE)</f>
        <v>3C</v>
      </c>
    </row>
    <row r="254" spans="1:6" ht="15.75" customHeight="1" x14ac:dyDescent="0.3">
      <c r="A254" s="28"/>
      <c r="B254" s="13">
        <v>71</v>
      </c>
      <c r="C254" s="13">
        <v>16</v>
      </c>
      <c r="D254" s="17">
        <v>2310</v>
      </c>
      <c r="E254" s="10" t="str">
        <f>VLOOKUP(D254,'[1]DATA BASE SANTRI'!$C$91:$E$513,2,FALSE)</f>
        <v>Satrio Alifiandra Putra Sugiharto</v>
      </c>
      <c r="F254" s="11" t="str">
        <f>VLOOKUP(D254,'[1]DATA BASE SANTRI'!$C$91:$E$513,3,FALSE)</f>
        <v>3C</v>
      </c>
    </row>
    <row r="255" spans="1:6" ht="15.75" customHeight="1" x14ac:dyDescent="0.3">
      <c r="A255" s="28"/>
      <c r="B255" s="13">
        <v>72</v>
      </c>
      <c r="C255" s="13">
        <v>17</v>
      </c>
      <c r="D255" s="15">
        <v>2323</v>
      </c>
      <c r="E255" s="10" t="str">
        <f>VLOOKUP(D255,'[1]DATA BASE SANTRI'!$C$91:$E$513,2,FALSE)</f>
        <v>Srengenge Rojogeni Abdhi Pengeran</v>
      </c>
      <c r="F255" s="11" t="str">
        <f>VLOOKUP(D255,'[1]DATA BASE SANTRI'!$C$91:$E$513,3,FALSE)</f>
        <v>3C</v>
      </c>
    </row>
    <row r="256" spans="1:6" ht="15.75" customHeight="1" x14ac:dyDescent="0.3">
      <c r="A256" s="28"/>
      <c r="B256" s="13">
        <v>73</v>
      </c>
      <c r="C256" s="13">
        <v>18</v>
      </c>
      <c r="D256" s="15">
        <v>2319</v>
      </c>
      <c r="E256" s="10" t="str">
        <f>VLOOKUP(D256,'[1]DATA BASE SANTRI'!$C$91:$E$513,2,FALSE)</f>
        <v>Zenaiddin Didan Sanjaya</v>
      </c>
      <c r="F256" s="11" t="str">
        <f>VLOOKUP(D256,'[1]DATA BASE SANTRI'!$C$91:$E$513,3,FALSE)</f>
        <v>3C</v>
      </c>
    </row>
    <row r="257" spans="1:6" ht="15.75" customHeight="1" x14ac:dyDescent="0.3">
      <c r="A257" s="28"/>
      <c r="B257" s="13">
        <v>74</v>
      </c>
      <c r="C257" s="13">
        <v>19</v>
      </c>
      <c r="D257" s="15">
        <v>2135</v>
      </c>
      <c r="E257" s="10" t="str">
        <f>VLOOKUP(D257,'[1]DATA BASE SANTRI'!$C$91:$E$513,2,FALSE)</f>
        <v>Abiyoga Damario</v>
      </c>
      <c r="F257" s="11" t="str">
        <f>VLOOKUP(D257,'[1]DATA BASE SANTRI'!$C$91:$E$513,3,FALSE)</f>
        <v>4A</v>
      </c>
    </row>
    <row r="258" spans="1:6" ht="15.75" customHeight="1" x14ac:dyDescent="0.3">
      <c r="A258" s="28"/>
      <c r="B258" s="13">
        <v>75</v>
      </c>
      <c r="C258" s="13">
        <v>20</v>
      </c>
      <c r="D258" s="15">
        <v>2139</v>
      </c>
      <c r="E258" s="10" t="str">
        <f>VLOOKUP(D258,'[1]DATA BASE SANTRI'!$C$91:$E$513,2,FALSE)</f>
        <v>Ahmad Zhafran Ar-Rasyid</v>
      </c>
      <c r="F258" s="11" t="str">
        <f>VLOOKUP(D258,'[1]DATA BASE SANTRI'!$C$91:$E$513,3,FALSE)</f>
        <v>4A</v>
      </c>
    </row>
    <row r="259" spans="1:6" ht="15.75" customHeight="1" x14ac:dyDescent="0.3">
      <c r="A259" s="28"/>
      <c r="B259" s="13">
        <v>76</v>
      </c>
      <c r="C259" s="13">
        <v>21</v>
      </c>
      <c r="D259" s="15">
        <v>2191</v>
      </c>
      <c r="E259" s="10" t="str">
        <f>VLOOKUP(D259,'[1]DATA BASE SANTRI'!$C$91:$E$513,2,FALSE)</f>
        <v>Muhammad Kevlar Putra Liandra</v>
      </c>
      <c r="F259" s="11" t="str">
        <f>VLOOKUP(D259,'[1]DATA BASE SANTRI'!$C$91:$E$513,3,FALSE)</f>
        <v>4A</v>
      </c>
    </row>
    <row r="260" spans="1:6" ht="15.75" customHeight="1" x14ac:dyDescent="0.3">
      <c r="A260" s="28"/>
      <c r="B260" s="13">
        <v>77</v>
      </c>
      <c r="C260" s="13">
        <v>22</v>
      </c>
      <c r="D260" s="15">
        <v>2192</v>
      </c>
      <c r="E260" s="10" t="str">
        <f>VLOOKUP(D260,'[1]DATA BASE SANTRI'!$C$91:$E$513,2,FALSE)</f>
        <v>Muhammad Raffasya Maqil</v>
      </c>
      <c r="F260" s="11" t="str">
        <f>VLOOKUP(D260,'[1]DATA BASE SANTRI'!$C$91:$E$513,3,FALSE)</f>
        <v>4A</v>
      </c>
    </row>
    <row r="261" spans="1:6" ht="15.75" customHeight="1" x14ac:dyDescent="0.3">
      <c r="A261" s="28"/>
      <c r="B261" s="13">
        <v>78</v>
      </c>
      <c r="C261" s="13">
        <v>23</v>
      </c>
      <c r="D261" s="15">
        <v>2173</v>
      </c>
      <c r="E261" s="10" t="str">
        <f>VLOOKUP(D261,'[1]DATA BASE SANTRI'!$C$91:$E$513,2,FALSE)</f>
        <v>Haura Shaki Nurdiansyah</v>
      </c>
      <c r="F261" s="11" t="str">
        <f>VLOOKUP(D261,'[1]DATA BASE SANTRI'!$C$91:$E$513,3,FALSE)</f>
        <v>4B</v>
      </c>
    </row>
    <row r="262" spans="1:6" ht="15.75" customHeight="1" x14ac:dyDescent="0.3">
      <c r="A262" s="28"/>
      <c r="B262" s="13">
        <v>79</v>
      </c>
      <c r="C262" s="13">
        <v>24</v>
      </c>
      <c r="D262" s="15">
        <v>2153</v>
      </c>
      <c r="E262" s="10" t="str">
        <f>VLOOKUP(D262,'[1]DATA BASE SANTRI'!$C$91:$E$513,2,FALSE)</f>
        <v>Arya Bima Ramadhan</v>
      </c>
      <c r="F262" s="11" t="str">
        <f>VLOOKUP(D262,'[1]DATA BASE SANTRI'!$C$91:$E$513,3,FALSE)</f>
        <v>4C</v>
      </c>
    </row>
    <row r="263" spans="1:6" ht="15.75" customHeight="1" x14ac:dyDescent="0.3">
      <c r="A263" s="28"/>
      <c r="B263" s="13">
        <v>80</v>
      </c>
      <c r="C263" s="13">
        <v>25</v>
      </c>
      <c r="D263" s="12">
        <v>2214</v>
      </c>
      <c r="E263" s="10" t="str">
        <f>VLOOKUP(D263,'[1]DATA BASE SANTRI'!$C$91:$E$513,2,FALSE)</f>
        <v>Sakha Alvaro Firdiansyah</v>
      </c>
      <c r="F263" s="11" t="str">
        <f>VLOOKUP(D263,'[1]DATA BASE SANTRI'!$C$91:$E$513,3,FALSE)</f>
        <v>4C</v>
      </c>
    </row>
    <row r="264" spans="1:6" ht="15.75" customHeight="1" x14ac:dyDescent="0.3">
      <c r="A264" s="28"/>
      <c r="B264" s="13">
        <v>81</v>
      </c>
      <c r="C264" s="13">
        <v>26</v>
      </c>
      <c r="D264" s="16">
        <v>2057</v>
      </c>
      <c r="E264" s="10" t="str">
        <f>VLOOKUP(D264,'[1]DATA BASE SANTRI'!$C$91:$E$513,2,FALSE)</f>
        <v>Arshaka Virendra Arsyad Annur</v>
      </c>
      <c r="F264" s="11" t="str">
        <f>VLOOKUP(D264,'[1]DATA BASE SANTRI'!$C$91:$E$513,3,FALSE)</f>
        <v>5C</v>
      </c>
    </row>
    <row r="265" spans="1:6" ht="15.75" customHeight="1" x14ac:dyDescent="0.3">
      <c r="A265" s="29"/>
      <c r="B265" s="13">
        <v>82</v>
      </c>
      <c r="C265" s="13">
        <v>27</v>
      </c>
      <c r="D265" s="15">
        <v>2101</v>
      </c>
      <c r="E265" s="10" t="str">
        <f>VLOOKUP(D265,'[1]DATA BASE SANTRI'!$C$91:$E$513,2,FALSE)</f>
        <v>Muhammad Sultan Roziqin Atmaja Putra</v>
      </c>
      <c r="F265" s="11" t="str">
        <f>VLOOKUP(D265,'[1]DATA BASE SANTRI'!$C$91:$E$513,3,FALSE)</f>
        <v>5C</v>
      </c>
    </row>
    <row r="266" spans="1:6" ht="15.75" customHeight="1" x14ac:dyDescent="0.3">
      <c r="A266" s="30" t="s">
        <v>10</v>
      </c>
      <c r="B266" s="13">
        <v>1</v>
      </c>
      <c r="C266" s="13">
        <v>1</v>
      </c>
      <c r="D266" s="15">
        <v>2399</v>
      </c>
      <c r="E266" s="10" t="str">
        <f>VLOOKUP(D266,'[1]DATA BASE SANTRI'!$C$91:$E$513,2,FALSE)</f>
        <v>Myesha Mafaza Miannuha</v>
      </c>
      <c r="F266" s="11" t="str">
        <f>VLOOKUP(D266,'[1]DATA BASE SANTRI'!$C$91:$E$513,3,FALSE)</f>
        <v>2A</v>
      </c>
    </row>
    <row r="267" spans="1:6" ht="15.75" customHeight="1" x14ac:dyDescent="0.3">
      <c r="A267" s="31"/>
      <c r="B267" s="13">
        <v>2</v>
      </c>
      <c r="C267" s="12">
        <v>2</v>
      </c>
      <c r="D267" s="15">
        <v>2416</v>
      </c>
      <c r="E267" s="10" t="str">
        <f>VLOOKUP(D267,'[1]DATA BASE SANTRI'!$C$91:$E$513,2,FALSE)</f>
        <v>Taufiq Vikky Wardhana</v>
      </c>
      <c r="F267" s="11" t="str">
        <f>VLOOKUP(D267,'[1]DATA BASE SANTRI'!$C$91:$E$513,3,FALSE)</f>
        <v>2A</v>
      </c>
    </row>
    <row r="268" spans="1:6" ht="15.75" customHeight="1" x14ac:dyDescent="0.3">
      <c r="A268" s="31"/>
      <c r="B268" s="13">
        <v>3</v>
      </c>
      <c r="C268" s="12">
        <v>3</v>
      </c>
      <c r="D268" s="15">
        <v>2407</v>
      </c>
      <c r="E268" s="10" t="str">
        <f>VLOOKUP(D268,'[1]DATA BASE SANTRI'!$C$91:$E$513,2,FALSE)</f>
        <v>Rahel Anindita Shadiqa</v>
      </c>
      <c r="F268" s="11" t="str">
        <f>VLOOKUP(D268,'[1]DATA BASE SANTRI'!$C$91:$E$513,3,FALSE)</f>
        <v>2C</v>
      </c>
    </row>
    <row r="269" spans="1:6" ht="15.75" customHeight="1" x14ac:dyDescent="0.3">
      <c r="A269" s="31"/>
      <c r="B269" s="13">
        <v>4</v>
      </c>
      <c r="C269" s="12">
        <v>4</v>
      </c>
      <c r="D269" s="15">
        <v>2325</v>
      </c>
      <c r="E269" s="10" t="str">
        <f>VLOOKUP(D269,'[1]DATA BASE SANTRI'!$C$91:$E$513,2,FALSE)</f>
        <v>’Izz Az-Zahra Al-Faizin</v>
      </c>
      <c r="F269" s="11" t="str">
        <f>VLOOKUP(D269,'[1]DATA BASE SANTRI'!$C$91:$E$513,3,FALSE)</f>
        <v>2C</v>
      </c>
    </row>
    <row r="270" spans="1:6" ht="15.75" customHeight="1" x14ac:dyDescent="0.3">
      <c r="A270" s="31"/>
      <c r="B270" s="13">
        <v>5</v>
      </c>
      <c r="C270" s="12">
        <v>5</v>
      </c>
      <c r="D270" s="15">
        <v>2283</v>
      </c>
      <c r="E270" s="10" t="str">
        <f>VLOOKUP(D270,'[1]DATA BASE SANTRI'!$C$91:$E$513,2,FALSE)</f>
        <v>Kirana Ashila Wilbert</v>
      </c>
      <c r="F270" s="11" t="str">
        <f>VLOOKUP(D270,'[1]DATA BASE SANTRI'!$C$91:$E$513,3,FALSE)</f>
        <v>3A</v>
      </c>
    </row>
    <row r="271" spans="1:6" ht="15.75" customHeight="1" x14ac:dyDescent="0.3">
      <c r="A271" s="31"/>
      <c r="B271" s="13">
        <v>6</v>
      </c>
      <c r="C271" s="12">
        <v>6</v>
      </c>
      <c r="D271" s="15">
        <v>2317</v>
      </c>
      <c r="E271" s="10" t="str">
        <f>VLOOKUP(D271,'[1]DATA BASE SANTRI'!$C$91:$E$513,2,FALSE)</f>
        <v>Uzlifatul Jannah</v>
      </c>
      <c r="F271" s="11" t="str">
        <f>VLOOKUP(D271,'[1]DATA BASE SANTRI'!$C$91:$E$513,3,FALSE)</f>
        <v>3A</v>
      </c>
    </row>
    <row r="272" spans="1:6" ht="15.75" customHeight="1" x14ac:dyDescent="0.3">
      <c r="A272" s="31"/>
      <c r="B272" s="13">
        <v>7</v>
      </c>
      <c r="C272" s="12">
        <v>7</v>
      </c>
      <c r="D272" s="12">
        <v>2307</v>
      </c>
      <c r="E272" s="10" t="str">
        <f>VLOOKUP(D272,'[1]DATA BASE SANTRI'!$C$91:$E$513,2,FALSE)</f>
        <v>Rifqi Alfarisi</v>
      </c>
      <c r="F272" s="11" t="str">
        <f>VLOOKUP(D272,'[1]DATA BASE SANTRI'!$C$91:$E$513,3,FALSE)</f>
        <v>3A</v>
      </c>
    </row>
    <row r="273" spans="1:6" ht="15.75" customHeight="1" x14ac:dyDescent="0.3">
      <c r="A273" s="31"/>
      <c r="B273" s="13">
        <v>8</v>
      </c>
      <c r="C273" s="12">
        <v>8</v>
      </c>
      <c r="D273" s="15">
        <v>2263</v>
      </c>
      <c r="E273" s="10" t="str">
        <f>VLOOKUP(D273,'[1]DATA BASE SANTRI'!$C$91:$E$513,2,FALSE)</f>
        <v>Defa Aliya Putri Navita</v>
      </c>
      <c r="F273" s="11" t="str">
        <f>VLOOKUP(D273,'[1]DATA BASE SANTRI'!$C$91:$E$513,3,FALSE)</f>
        <v>3C</v>
      </c>
    </row>
    <row r="274" spans="1:6" ht="15.75" customHeight="1" x14ac:dyDescent="0.3">
      <c r="A274" s="31"/>
      <c r="B274" s="13">
        <v>9</v>
      </c>
      <c r="C274" s="12">
        <v>9</v>
      </c>
      <c r="D274" s="15">
        <v>2245</v>
      </c>
      <c r="E274" s="10" t="str">
        <f>VLOOKUP(D274,'[1]DATA BASE SANTRI'!$C$91:$E$513,2,FALSE)</f>
        <v>Arista Medina Ainur Rhosid</v>
      </c>
      <c r="F274" s="11" t="str">
        <f>VLOOKUP(D274,'[1]DATA BASE SANTRI'!$C$91:$E$513,3,FALSE)</f>
        <v>3C</v>
      </c>
    </row>
    <row r="275" spans="1:6" ht="15.75" customHeight="1" x14ac:dyDescent="0.3">
      <c r="A275" s="31"/>
      <c r="B275" s="13">
        <v>10</v>
      </c>
      <c r="C275" s="12">
        <v>10</v>
      </c>
      <c r="D275" s="15">
        <v>2252</v>
      </c>
      <c r="E275" s="10" t="str">
        <f>VLOOKUP(D275,'[1]DATA BASE SANTRI'!$C$91:$E$513,2,FALSE)</f>
        <v>Atharrayhan Abhivandya Chandra</v>
      </c>
      <c r="F275" s="11" t="str">
        <f>VLOOKUP(D275,'[1]DATA BASE SANTRI'!$C$91:$E$513,3,FALSE)</f>
        <v>3C</v>
      </c>
    </row>
    <row r="276" spans="1:6" ht="15.75" customHeight="1" x14ac:dyDescent="0.3">
      <c r="A276" s="31"/>
      <c r="B276" s="13">
        <v>11</v>
      </c>
      <c r="C276" s="12">
        <v>11</v>
      </c>
      <c r="D276" s="15">
        <v>2237</v>
      </c>
      <c r="E276" s="10" t="str">
        <f>VLOOKUP(D276,'[1]DATA BASE SANTRI'!$C$91:$E$513,2,FALSE)</f>
        <v>Ahmad Rosyid Shohihul Zafran</v>
      </c>
      <c r="F276" s="11" t="str">
        <f>VLOOKUP(D276,'[1]DATA BASE SANTRI'!$C$91:$E$513,3,FALSE)</f>
        <v>3C</v>
      </c>
    </row>
    <row r="277" spans="1:6" ht="15.75" customHeight="1" x14ac:dyDescent="0.3">
      <c r="A277" s="31"/>
      <c r="B277" s="13">
        <v>12</v>
      </c>
      <c r="C277" s="12">
        <v>12</v>
      </c>
      <c r="D277" s="15">
        <v>2172</v>
      </c>
      <c r="E277" s="10" t="str">
        <f>VLOOKUP(D277,'[1]DATA BASE SANTRI'!$C$91:$E$513,2,FALSE)</f>
        <v>Hasbi Al Fuadi</v>
      </c>
      <c r="F277" s="11" t="str">
        <f>VLOOKUP(D277,'[1]DATA BASE SANTRI'!$C$91:$E$513,3,FALSE)</f>
        <v>4A</v>
      </c>
    </row>
    <row r="278" spans="1:6" ht="15.75" customHeight="1" x14ac:dyDescent="0.3">
      <c r="A278" s="31"/>
      <c r="B278" s="13">
        <v>13</v>
      </c>
      <c r="C278" s="12">
        <v>13</v>
      </c>
      <c r="D278" s="15">
        <v>2166</v>
      </c>
      <c r="E278" s="10" t="str">
        <f>VLOOKUP(D278,'[1]DATA BASE SANTRI'!$C$91:$E$513,2,FALSE)</f>
        <v>Fadzrin Ali Syabana A.</v>
      </c>
      <c r="F278" s="11" t="str">
        <f>VLOOKUP(D278,'[1]DATA BASE SANTRI'!$C$91:$E$513,3,FALSE)</f>
        <v>4B</v>
      </c>
    </row>
    <row r="279" spans="1:6" ht="15.75" customHeight="1" x14ac:dyDescent="0.3">
      <c r="A279" s="31"/>
      <c r="B279" s="13">
        <v>14</v>
      </c>
      <c r="C279" s="12">
        <v>14</v>
      </c>
      <c r="D279" s="15">
        <v>2177</v>
      </c>
      <c r="E279" s="10" t="str">
        <f>VLOOKUP(D279,'[1]DATA BASE SANTRI'!$C$91:$E$513,2,FALSE)</f>
        <v>Khairunnisa Almaira Nur Zhada</v>
      </c>
      <c r="F279" s="11" t="str">
        <f>VLOOKUP(D279,'[1]DATA BASE SANTRI'!$C$91:$E$513,3,FALSE)</f>
        <v>4B</v>
      </c>
    </row>
    <row r="280" spans="1:6" ht="15.75" customHeight="1" x14ac:dyDescent="0.3">
      <c r="A280" s="31"/>
      <c r="B280" s="13">
        <v>15</v>
      </c>
      <c r="C280" s="12">
        <v>15</v>
      </c>
      <c r="D280" s="15">
        <v>2206</v>
      </c>
      <c r="E280" s="10" t="str">
        <f>VLOOKUP(D280,'[1]DATA BASE SANTRI'!$C$91:$E$513,2,FALSE)</f>
        <v>Raka Ega Ganendra Iskandar</v>
      </c>
      <c r="F280" s="11" t="str">
        <f>VLOOKUP(D280,'[1]DATA BASE SANTRI'!$C$91:$E$513,3,FALSE)</f>
        <v>4B</v>
      </c>
    </row>
    <row r="281" spans="1:6" ht="15.75" customHeight="1" x14ac:dyDescent="0.3">
      <c r="A281" s="31"/>
      <c r="B281" s="13">
        <v>16</v>
      </c>
      <c r="C281" s="12">
        <v>16</v>
      </c>
      <c r="D281" s="12">
        <v>2207</v>
      </c>
      <c r="E281" s="10" t="str">
        <f>VLOOKUP(D281,'[1]DATA BASE SANTRI'!$C$91:$E$513,2,FALSE)</f>
        <v>Raline Suardita Arsyila</v>
      </c>
      <c r="F281" s="11" t="str">
        <f>VLOOKUP(D281,'[1]DATA BASE SANTRI'!$C$91:$E$513,3,FALSE)</f>
        <v>4B</v>
      </c>
    </row>
    <row r="282" spans="1:6" ht="15.75" customHeight="1" x14ac:dyDescent="0.3">
      <c r="A282" s="31"/>
      <c r="B282" s="13">
        <v>17</v>
      </c>
      <c r="C282" s="12">
        <v>17</v>
      </c>
      <c r="D282" s="12">
        <v>2230</v>
      </c>
      <c r="E282" s="10" t="str">
        <f>VLOOKUP(D282,'[1]DATA BASE SANTRI'!$C$91:$E$513,2,FALSE)</f>
        <v xml:space="preserve">Keanu Al Jaabal Arief </v>
      </c>
      <c r="F282" s="11" t="str">
        <f>VLOOKUP(D282,'[1]DATA BASE SANTRI'!$C$91:$E$513,3,FALSE)</f>
        <v>6A</v>
      </c>
    </row>
    <row r="283" spans="1:6" ht="15.75" customHeight="1" x14ac:dyDescent="0.3">
      <c r="A283" s="31"/>
      <c r="B283" s="13">
        <v>18</v>
      </c>
      <c r="C283" s="12">
        <v>18</v>
      </c>
      <c r="D283" s="15">
        <v>2022</v>
      </c>
      <c r="E283" s="10" t="str">
        <f>VLOOKUP(D283,'[1]DATA BASE SANTRI'!$C$91:$E$513,2,FALSE)</f>
        <v>Quenzino Zaidan Argani</v>
      </c>
      <c r="F283" s="11" t="str">
        <f>VLOOKUP(D283,'[1]DATA BASE SANTRI'!$C$91:$E$513,3,FALSE)</f>
        <v>6A</v>
      </c>
    </row>
    <row r="284" spans="1:6" ht="15.75" customHeight="1" x14ac:dyDescent="0.3">
      <c r="A284" s="31"/>
      <c r="B284" s="13">
        <v>19</v>
      </c>
      <c r="C284" s="12">
        <v>1</v>
      </c>
      <c r="D284" s="15">
        <v>2346</v>
      </c>
      <c r="E284" s="10" t="str">
        <f>VLOOKUP(D284,'[1]DATA BASE SANTRI'!$C$91:$E$513,2,FALSE)</f>
        <v>Azril Abqari Purwanto</v>
      </c>
      <c r="F284" s="11" t="str">
        <f>VLOOKUP(D284,'[1]DATA BASE SANTRI'!$C$91:$E$513,3,FALSE)</f>
        <v>2A</v>
      </c>
    </row>
    <row r="285" spans="1:6" ht="15.75" customHeight="1" x14ac:dyDescent="0.3">
      <c r="A285" s="31"/>
      <c r="B285" s="13">
        <v>20</v>
      </c>
      <c r="C285" s="12">
        <v>2</v>
      </c>
      <c r="D285" s="15">
        <v>2357</v>
      </c>
      <c r="E285" s="10" t="str">
        <f>VLOOKUP(D285,'[1]DATA BASE SANTRI'!$C$91:$E$513,2,FALSE)</f>
        <v>Fiola Adelia Putri</v>
      </c>
      <c r="F285" s="11" t="str">
        <f>VLOOKUP(D285,'[1]DATA BASE SANTRI'!$C$91:$E$513,3,FALSE)</f>
        <v>2A</v>
      </c>
    </row>
    <row r="286" spans="1:6" ht="15.75" customHeight="1" x14ac:dyDescent="0.3">
      <c r="A286" s="31"/>
      <c r="B286" s="13">
        <v>21</v>
      </c>
      <c r="C286" s="12">
        <v>3</v>
      </c>
      <c r="D286" s="15">
        <v>2382</v>
      </c>
      <c r="E286" s="10" t="str">
        <f>VLOOKUP(D286,'[1]DATA BASE SANTRI'!$C$91:$E$513,2,FALSE)</f>
        <v>Mohammad Ibrahim Akmal Safrudin</v>
      </c>
      <c r="F286" s="11" t="str">
        <f>VLOOKUP(D286,'[1]DATA BASE SANTRI'!$C$91:$E$513,3,FALSE)</f>
        <v>2B</v>
      </c>
    </row>
    <row r="287" spans="1:6" ht="15.75" customHeight="1" x14ac:dyDescent="0.3">
      <c r="A287" s="31"/>
      <c r="B287" s="13">
        <v>22</v>
      </c>
      <c r="C287" s="12">
        <v>4</v>
      </c>
      <c r="D287" s="15">
        <v>2402</v>
      </c>
      <c r="E287" s="10" t="str">
        <f>VLOOKUP(D287,'[1]DATA BASE SANTRI'!$C$91:$E$513,2,FALSE)</f>
        <v>Naura Putri Rohman</v>
      </c>
      <c r="F287" s="11" t="str">
        <f>VLOOKUP(D287,'[1]DATA BASE SANTRI'!$C$91:$E$513,3,FALSE)</f>
        <v>2B</v>
      </c>
    </row>
    <row r="288" spans="1:6" ht="15.75" customHeight="1" x14ac:dyDescent="0.3">
      <c r="A288" s="31"/>
      <c r="B288" s="13">
        <v>23</v>
      </c>
      <c r="C288" s="12">
        <v>5</v>
      </c>
      <c r="D288" s="15">
        <v>2259</v>
      </c>
      <c r="E288" s="10" t="str">
        <f>VLOOKUP(D288,'[1]DATA BASE SANTRI'!$C$91:$E$513,2,FALSE)</f>
        <v>Cerelia Arsyila Patria Romeesa</v>
      </c>
      <c r="F288" s="11" t="str">
        <f>VLOOKUP(D288,'[1]DATA BASE SANTRI'!$C$91:$E$513,3,FALSE)</f>
        <v>3A</v>
      </c>
    </row>
    <row r="289" spans="1:6" ht="15.75" customHeight="1" x14ac:dyDescent="0.3">
      <c r="A289" s="31"/>
      <c r="B289" s="13">
        <v>24</v>
      </c>
      <c r="C289" s="12">
        <v>6</v>
      </c>
      <c r="D289" s="15">
        <v>2314</v>
      </c>
      <c r="E289" s="10" t="str">
        <f>VLOOKUP(D289,'[1]DATA BASE SANTRI'!$C$91:$E$513,2,FALSE)</f>
        <v>Shaqueena Adreena Mecca</v>
      </c>
      <c r="F289" s="11" t="str">
        <f>VLOOKUP(D289,'[1]DATA BASE SANTRI'!$C$91:$E$513,3,FALSE)</f>
        <v>3A</v>
      </c>
    </row>
    <row r="290" spans="1:6" ht="15.75" customHeight="1" x14ac:dyDescent="0.3">
      <c r="A290" s="31"/>
      <c r="B290" s="13">
        <v>25</v>
      </c>
      <c r="C290" s="12">
        <v>7</v>
      </c>
      <c r="D290" s="15">
        <v>2266</v>
      </c>
      <c r="E290" s="10" t="str">
        <f>VLOOKUP(D290,'[1]DATA BASE SANTRI'!$C$91:$E$513,2,FALSE)</f>
        <v>Faradiba Khairunnisa Nabila</v>
      </c>
      <c r="F290" s="11" t="str">
        <f>VLOOKUP(D290,'[1]DATA BASE SANTRI'!$C$91:$E$513,3,FALSE)</f>
        <v>3A</v>
      </c>
    </row>
    <row r="291" spans="1:6" ht="15.75" customHeight="1" x14ac:dyDescent="0.3">
      <c r="A291" s="31"/>
      <c r="B291" s="13">
        <v>26</v>
      </c>
      <c r="C291" s="12">
        <v>8</v>
      </c>
      <c r="D291" s="15">
        <v>2246</v>
      </c>
      <c r="E291" s="10" t="str">
        <f>VLOOKUP(D291,'[1]DATA BASE SANTRI'!$C$91:$E$513,2,FALSE)</f>
        <v>Arkana Harya Saputra</v>
      </c>
      <c r="F291" s="11" t="str">
        <f>VLOOKUP(D291,'[1]DATA BASE SANTRI'!$C$91:$E$513,3,FALSE)</f>
        <v>3A</v>
      </c>
    </row>
    <row r="292" spans="1:6" ht="15.75" customHeight="1" x14ac:dyDescent="0.3">
      <c r="A292" s="31"/>
      <c r="B292" s="13">
        <v>27</v>
      </c>
      <c r="C292" s="12">
        <v>9</v>
      </c>
      <c r="D292" s="12">
        <v>2292</v>
      </c>
      <c r="E292" s="10" t="str">
        <f>VLOOKUP(D292,'[1]DATA BASE SANTRI'!$C$91:$E$513,2,FALSE)</f>
        <v>Muhammad Zayyan Al Fatih</v>
      </c>
      <c r="F292" s="11" t="str">
        <f>VLOOKUP(D292,'[1]DATA BASE SANTRI'!$C$91:$E$513,3,FALSE)</f>
        <v>3B</v>
      </c>
    </row>
    <row r="293" spans="1:6" ht="15.75" customHeight="1" x14ac:dyDescent="0.3">
      <c r="A293" s="31"/>
      <c r="B293" s="13">
        <v>28</v>
      </c>
      <c r="C293" s="12">
        <v>10</v>
      </c>
      <c r="D293" s="15">
        <v>2242</v>
      </c>
      <c r="E293" s="10" t="str">
        <f>VLOOKUP(D293,'[1]DATA BASE SANTRI'!$C$91:$E$513,2,FALSE)</f>
        <v>Almaira Aqilla Shanum Prasetyo</v>
      </c>
      <c r="F293" s="11" t="str">
        <f>VLOOKUP(D293,'[1]DATA BASE SANTRI'!$C$91:$E$513,3,FALSE)</f>
        <v>3B</v>
      </c>
    </row>
    <row r="294" spans="1:6" ht="15.75" customHeight="1" x14ac:dyDescent="0.3">
      <c r="A294" s="31"/>
      <c r="B294" s="13">
        <v>29</v>
      </c>
      <c r="C294" s="12">
        <v>11</v>
      </c>
      <c r="D294" s="15">
        <v>2275</v>
      </c>
      <c r="E294" s="10" t="str">
        <f>VLOOKUP(D294,'[1]DATA BASE SANTRI'!$C$91:$E$513,2,FALSE)</f>
        <v>Isco Nazilal Haqiqi</v>
      </c>
      <c r="F294" s="11" t="str">
        <f>VLOOKUP(D294,'[1]DATA BASE SANTRI'!$C$91:$E$513,3,FALSE)</f>
        <v>3B</v>
      </c>
    </row>
    <row r="295" spans="1:6" ht="15.75" customHeight="1" x14ac:dyDescent="0.3">
      <c r="A295" s="31"/>
      <c r="B295" s="13">
        <v>30</v>
      </c>
      <c r="C295" s="12">
        <v>12</v>
      </c>
      <c r="D295" s="12">
        <v>2163</v>
      </c>
      <c r="E295" s="10" t="str">
        <f>VLOOKUP(D295,'[1]DATA BASE SANTRI'!$C$91:$E$513,2,FALSE)</f>
        <v>Dhia Awang Syathir</v>
      </c>
      <c r="F295" s="11" t="str">
        <f>VLOOKUP(D295,'[1]DATA BASE SANTRI'!$C$91:$E$513,3,FALSE)</f>
        <v>4B</v>
      </c>
    </row>
    <row r="296" spans="1:6" ht="15.75" customHeight="1" x14ac:dyDescent="0.3">
      <c r="A296" s="31"/>
      <c r="B296" s="13">
        <v>31</v>
      </c>
      <c r="C296" s="12">
        <v>13</v>
      </c>
      <c r="D296" s="15">
        <v>2182</v>
      </c>
      <c r="E296" s="10" t="str">
        <f>VLOOKUP(D296,'[1]DATA BASE SANTRI'!$C$91:$E$513,2,FALSE)</f>
        <v>Mikhayla Valerie Putri Huri</v>
      </c>
      <c r="F296" s="11" t="str">
        <f>VLOOKUP(D296,'[1]DATA BASE SANTRI'!$C$91:$E$513,3,FALSE)</f>
        <v>4B</v>
      </c>
    </row>
    <row r="297" spans="1:6" ht="15.75" customHeight="1" x14ac:dyDescent="0.3">
      <c r="A297" s="31"/>
      <c r="B297" s="13">
        <v>32</v>
      </c>
      <c r="C297" s="12">
        <v>14</v>
      </c>
      <c r="D297" s="15">
        <v>2161</v>
      </c>
      <c r="E297" s="10" t="str">
        <f>VLOOKUP(D297,'[1]DATA BASE SANTRI'!$C$91:$E$513,2,FALSE)</f>
        <v>Celine Tatyana Wibowo</v>
      </c>
      <c r="F297" s="11" t="str">
        <f>VLOOKUP(D297,'[1]DATA BASE SANTRI'!$C$91:$E$513,3,FALSE)</f>
        <v>4C</v>
      </c>
    </row>
    <row r="298" spans="1:6" ht="15.75" customHeight="1" x14ac:dyDescent="0.3">
      <c r="A298" s="31"/>
      <c r="B298" s="13">
        <v>33</v>
      </c>
      <c r="C298" s="12">
        <v>15</v>
      </c>
      <c r="D298" s="12">
        <v>2145</v>
      </c>
      <c r="E298" s="10" t="str">
        <f>VLOOKUP(D298,'[1]DATA BASE SANTRI'!$C$91:$E$513,2,FALSE)</f>
        <v>Althaf Ghozali Jalalillutfi</v>
      </c>
      <c r="F298" s="11" t="str">
        <f>VLOOKUP(D298,'[1]DATA BASE SANTRI'!$C$91:$E$513,3,FALSE)</f>
        <v>4C</v>
      </c>
    </row>
    <row r="299" spans="1:6" ht="15.75" customHeight="1" x14ac:dyDescent="0.3">
      <c r="A299" s="31"/>
      <c r="B299" s="13">
        <v>34</v>
      </c>
      <c r="C299" s="12">
        <v>16</v>
      </c>
      <c r="D299" s="15">
        <v>2110</v>
      </c>
      <c r="E299" s="10" t="str">
        <f>VLOOKUP(D299,'[1]DATA BASE SANTRI'!$C$91:$E$513,2,FALSE)</f>
        <v>Roman Al Ghozali Fahrizi</v>
      </c>
      <c r="F299" s="11" t="str">
        <f>VLOOKUP(D299,'[1]DATA BASE SANTRI'!$C$91:$E$513,3,FALSE)</f>
        <v>5B</v>
      </c>
    </row>
    <row r="300" spans="1:6" ht="15.75" customHeight="1" x14ac:dyDescent="0.3">
      <c r="A300" s="32"/>
      <c r="B300" s="13">
        <v>35</v>
      </c>
      <c r="C300" s="12">
        <v>17</v>
      </c>
      <c r="D300" s="15">
        <v>1964</v>
      </c>
      <c r="E300" s="10" t="str">
        <f>VLOOKUP(D300,'[1]DATA BASE SANTRI'!$C$91:$E$513,2,FALSE)</f>
        <v>Ahkam Fi Kalami Al Muharrimiseim</v>
      </c>
      <c r="F300" s="11" t="str">
        <f>VLOOKUP(D300,'[1]DATA BASE SANTRI'!$C$91:$E$513,3,FALSE)</f>
        <v>6C</v>
      </c>
    </row>
    <row r="301" spans="1:6" ht="15.6" x14ac:dyDescent="0.3">
      <c r="A301" s="33" t="s">
        <v>11</v>
      </c>
      <c r="B301" s="13">
        <v>1</v>
      </c>
      <c r="C301" s="8">
        <v>1</v>
      </c>
      <c r="D301" s="15">
        <v>2265</v>
      </c>
      <c r="E301" s="10" t="str">
        <f>VLOOKUP(D301,'[1]DATA BASE SANTRI'!$C$91:$E$513,2,FALSE)</f>
        <v>Dwi Nur Anggita</v>
      </c>
      <c r="F301" s="11" t="str">
        <f>VLOOKUP(D301,'[1]DATA BASE SANTRI'!$C$91:$E$513,3,FALSE)</f>
        <v>3A</v>
      </c>
    </row>
    <row r="302" spans="1:6" ht="15.6" x14ac:dyDescent="0.3">
      <c r="A302" s="34"/>
      <c r="B302" s="13">
        <v>2</v>
      </c>
      <c r="C302" s="8">
        <v>2</v>
      </c>
      <c r="D302" s="15">
        <v>2239</v>
      </c>
      <c r="E302" s="10" t="str">
        <f>VLOOKUP(D302,'[1]DATA BASE SANTRI'!$C$91:$E$513,2,FALSE)</f>
        <v>Alesha Queenara Melody</v>
      </c>
      <c r="F302" s="11" t="str">
        <f>VLOOKUP(D302,'[1]DATA BASE SANTRI'!$C$91:$E$513,3,FALSE)</f>
        <v>3B</v>
      </c>
    </row>
    <row r="303" spans="1:6" ht="15.6" x14ac:dyDescent="0.3">
      <c r="A303" s="34"/>
      <c r="B303" s="13">
        <v>3</v>
      </c>
      <c r="C303" s="8">
        <v>3</v>
      </c>
      <c r="D303" s="15">
        <v>2286</v>
      </c>
      <c r="E303" s="10" t="str">
        <f>VLOOKUP(D303,'[1]DATA BASE SANTRI'!$C$91:$E$513,2,FALSE)</f>
        <v>Moh. Munzir Haqiqi</v>
      </c>
      <c r="F303" s="11" t="str">
        <f>VLOOKUP(D303,'[1]DATA BASE SANTRI'!$C$91:$E$513,3,FALSE)</f>
        <v>3B</v>
      </c>
    </row>
    <row r="304" spans="1:6" ht="15.6" x14ac:dyDescent="0.3">
      <c r="A304" s="34"/>
      <c r="B304" s="13">
        <v>4</v>
      </c>
      <c r="C304" s="8">
        <v>4</v>
      </c>
      <c r="D304" s="15">
        <v>2279</v>
      </c>
      <c r="E304" s="10" t="str">
        <f>VLOOKUP(D304,'[1]DATA BASE SANTRI'!$C$91:$E$513,2,FALSE)</f>
        <v>Keinarra Aqueena Safa Hapsari</v>
      </c>
      <c r="F304" s="11" t="str">
        <f>VLOOKUP(D304,'[1]DATA BASE SANTRI'!$C$91:$E$513,3,FALSE)</f>
        <v>3B</v>
      </c>
    </row>
    <row r="305" spans="1:6" ht="15.6" x14ac:dyDescent="0.3">
      <c r="A305" s="34"/>
      <c r="B305" s="13">
        <v>5</v>
      </c>
      <c r="C305" s="8">
        <v>5</v>
      </c>
      <c r="D305" s="15">
        <v>2277</v>
      </c>
      <c r="E305" s="10" t="str">
        <f>VLOOKUP(D305,'[1]DATA BASE SANTRI'!$C$91:$E$513,2,FALSE)</f>
        <v>Karimah Adzkiyah Athifa</v>
      </c>
      <c r="F305" s="11" t="str">
        <f>VLOOKUP(D305,'[1]DATA BASE SANTRI'!$C$91:$E$513,3,FALSE)</f>
        <v>3B</v>
      </c>
    </row>
    <row r="306" spans="1:6" ht="15.6" x14ac:dyDescent="0.3">
      <c r="A306" s="34"/>
      <c r="B306" s="13">
        <v>6</v>
      </c>
      <c r="C306" s="8">
        <v>6</v>
      </c>
      <c r="D306" s="15">
        <v>2271</v>
      </c>
      <c r="E306" s="10" t="str">
        <f>VLOOKUP(D306,'[1]DATA BASE SANTRI'!$C$91:$E$513,2,FALSE)</f>
        <v>Hadijah Malaika Aurora Desiree</v>
      </c>
      <c r="F306" s="11" t="str">
        <f>VLOOKUP(D306,'[1]DATA BASE SANTRI'!$C$91:$E$513,3,FALSE)</f>
        <v>3B</v>
      </c>
    </row>
    <row r="307" spans="1:6" ht="15.6" x14ac:dyDescent="0.3">
      <c r="A307" s="34"/>
      <c r="B307" s="13">
        <v>7</v>
      </c>
      <c r="C307" s="8">
        <v>7</v>
      </c>
      <c r="D307" s="15">
        <v>2243</v>
      </c>
      <c r="E307" s="10" t="str">
        <f>VLOOKUP(D307,'[1]DATA BASE SANTRI'!$C$91:$E$513,2,FALSE)</f>
        <v>Aqeela Fazia Saputra</v>
      </c>
      <c r="F307" s="11" t="str">
        <f>VLOOKUP(D307,'[1]DATA BASE SANTRI'!$C$91:$E$513,3,FALSE)</f>
        <v>3B</v>
      </c>
    </row>
    <row r="308" spans="1:6" ht="15.6" x14ac:dyDescent="0.3">
      <c r="A308" s="34"/>
      <c r="B308" s="13">
        <v>8</v>
      </c>
      <c r="C308" s="8">
        <v>8</v>
      </c>
      <c r="D308" s="15">
        <v>2298</v>
      </c>
      <c r="E308" s="10" t="str">
        <f>VLOOKUP(D308,'[1]DATA BASE SANTRI'!$C$91:$E$513,2,FALSE)</f>
        <v>Naila Fadhilatur Rohmah</v>
      </c>
      <c r="F308" s="11" t="str">
        <f>VLOOKUP(D308,'[1]DATA BASE SANTRI'!$C$91:$E$513,3,FALSE)</f>
        <v>3B</v>
      </c>
    </row>
    <row r="309" spans="1:6" ht="15.6" x14ac:dyDescent="0.3">
      <c r="A309" s="34"/>
      <c r="B309" s="13">
        <v>9</v>
      </c>
      <c r="C309" s="8">
        <v>9</v>
      </c>
      <c r="D309" s="15">
        <v>2254</v>
      </c>
      <c r="E309" s="10" t="str">
        <f>VLOOKUP(D309,'[1]DATA BASE SANTRI'!$C$91:$E$513,2,FALSE)</f>
        <v>Ayumi Tianzee Wijaya</v>
      </c>
      <c r="F309" s="11" t="str">
        <f>VLOOKUP(D309,'[1]DATA BASE SANTRI'!$C$91:$E$513,3,FALSE)</f>
        <v>3B</v>
      </c>
    </row>
    <row r="310" spans="1:6" ht="15.6" x14ac:dyDescent="0.3">
      <c r="A310" s="34"/>
      <c r="B310" s="13">
        <v>10</v>
      </c>
      <c r="C310" s="8">
        <v>10</v>
      </c>
      <c r="D310" s="15">
        <v>2295</v>
      </c>
      <c r="E310" s="10" t="str">
        <f>VLOOKUP(D310,'[1]DATA BASE SANTRI'!$C$91:$E$513,2,FALSE)</f>
        <v>Muhammad El Azfer Dzakiandra Siwi</v>
      </c>
      <c r="F310" s="11" t="str">
        <f>VLOOKUP(D310,'[1]DATA BASE SANTRI'!$C$91:$E$513,3,FALSE)</f>
        <v>3C</v>
      </c>
    </row>
    <row r="311" spans="1:6" ht="15.6" x14ac:dyDescent="0.3">
      <c r="A311" s="34"/>
      <c r="B311" s="13">
        <v>11</v>
      </c>
      <c r="C311" s="8">
        <v>11</v>
      </c>
      <c r="D311" s="15">
        <v>2276</v>
      </c>
      <c r="E311" s="10" t="str">
        <f>VLOOKUP(D311,'[1]DATA BASE SANTRI'!$C$91:$E$513,2,FALSE)</f>
        <v>Jennaira Aisyah Mikayla Prabowo</v>
      </c>
      <c r="F311" s="11" t="str">
        <f>VLOOKUP(D311,'[1]DATA BASE SANTRI'!$C$91:$E$513,3,FALSE)</f>
        <v>3C</v>
      </c>
    </row>
    <row r="312" spans="1:6" ht="15.6" x14ac:dyDescent="0.3">
      <c r="A312" s="34"/>
      <c r="B312" s="13">
        <v>12</v>
      </c>
      <c r="C312" s="8">
        <v>12</v>
      </c>
      <c r="D312" s="15">
        <v>2208</v>
      </c>
      <c r="E312" s="10" t="str">
        <f>VLOOKUP(D312,'[1]DATA BASE SANTRI'!$C$91:$E$513,2,FALSE)</f>
        <v>Rasya Ahmad Azzamy</v>
      </c>
      <c r="F312" s="11" t="str">
        <f>VLOOKUP(D312,'[1]DATA BASE SANTRI'!$C$91:$E$513,3,FALSE)</f>
        <v>4B</v>
      </c>
    </row>
    <row r="313" spans="1:6" ht="15.6" x14ac:dyDescent="0.3">
      <c r="A313" s="34"/>
      <c r="B313" s="13">
        <v>13</v>
      </c>
      <c r="C313" s="8">
        <v>13</v>
      </c>
      <c r="D313" s="15">
        <v>2180</v>
      </c>
      <c r="E313" s="10" t="str">
        <f>VLOOKUP(D313,'[1]DATA BASE SANTRI'!$C$91:$E$513,2,FALSE)</f>
        <v>Mecca Dazlin Darsono</v>
      </c>
      <c r="F313" s="11" t="str">
        <f>VLOOKUP(D313,'[1]DATA BASE SANTRI'!$C$91:$E$513,3,FALSE)</f>
        <v>4C</v>
      </c>
    </row>
    <row r="314" spans="1:6" ht="15.6" x14ac:dyDescent="0.3">
      <c r="A314" s="34"/>
      <c r="B314" s="13">
        <v>14</v>
      </c>
      <c r="C314" s="8">
        <v>14</v>
      </c>
      <c r="D314" s="15">
        <v>2152</v>
      </c>
      <c r="E314" s="10" t="str">
        <f>VLOOKUP(D314,'[1]DATA BASE SANTRI'!$C$91:$E$513,2,FALSE)</f>
        <v>Arsyad Azfar Rabbani</v>
      </c>
      <c r="F314" s="11" t="str">
        <f>VLOOKUP(D314,'[1]DATA BASE SANTRI'!$C$91:$E$513,3,FALSE)</f>
        <v>4C</v>
      </c>
    </row>
    <row r="315" spans="1:6" ht="15.6" x14ac:dyDescent="0.3">
      <c r="A315" s="34"/>
      <c r="B315" s="13">
        <v>15</v>
      </c>
      <c r="C315" s="8">
        <v>15</v>
      </c>
      <c r="D315" s="15">
        <v>2074</v>
      </c>
      <c r="E315" s="10" t="str">
        <f>VLOOKUP(D315,'[1]DATA BASE SANTRI'!$C$91:$E$513,2,FALSE)</f>
        <v xml:space="preserve">Ibrahim Malik Al Farizky </v>
      </c>
      <c r="F315" s="11" t="str">
        <f>VLOOKUP(D315,'[1]DATA BASE SANTRI'!$C$91:$E$513,3,FALSE)</f>
        <v>5A</v>
      </c>
    </row>
    <row r="316" spans="1:6" ht="15.6" x14ac:dyDescent="0.3">
      <c r="A316" s="34"/>
      <c r="B316" s="13">
        <v>16</v>
      </c>
      <c r="C316" s="8">
        <v>16</v>
      </c>
      <c r="D316" s="15">
        <v>2118</v>
      </c>
      <c r="E316" s="10" t="str">
        <f>VLOOKUP(D316,'[1]DATA BASE SANTRI'!$C$91:$E$513,2,FALSE)</f>
        <v>Syifa Almaira Firdiansyah</v>
      </c>
      <c r="F316" s="11" t="str">
        <f>VLOOKUP(D316,'[1]DATA BASE SANTRI'!$C$91:$E$513,3,FALSE)</f>
        <v>5B</v>
      </c>
    </row>
    <row r="317" spans="1:6" ht="15.6" x14ac:dyDescent="0.3">
      <c r="A317" s="34"/>
      <c r="B317" s="13">
        <v>17</v>
      </c>
      <c r="C317" s="8">
        <v>17</v>
      </c>
      <c r="D317" s="12">
        <v>2076</v>
      </c>
      <c r="E317" s="10" t="str">
        <f>VLOOKUP(D317,'[1]DATA BASE SANTRI'!$C$91:$E$513,2,FALSE)</f>
        <v>Kayla Elifina Putri Syah</v>
      </c>
      <c r="F317" s="11" t="str">
        <f>VLOOKUP(D317,'[1]DATA BASE SANTRI'!$C$91:$E$513,3,FALSE)</f>
        <v>5B</v>
      </c>
    </row>
    <row r="318" spans="1:6" ht="15.6" x14ac:dyDescent="0.3">
      <c r="A318" s="34"/>
      <c r="B318" s="13">
        <v>18</v>
      </c>
      <c r="C318" s="8">
        <v>18</v>
      </c>
      <c r="D318" s="15">
        <v>2077</v>
      </c>
      <c r="E318" s="10" t="str">
        <f>VLOOKUP(D318,'[1]DATA BASE SANTRI'!$C$91:$E$513,2,FALSE)</f>
        <v>Kenzo Aldrich Kasyafano Rujito</v>
      </c>
      <c r="F318" s="11" t="str">
        <f>VLOOKUP(D318,'[1]DATA BASE SANTRI'!$C$91:$E$513,3,FALSE)</f>
        <v>5C</v>
      </c>
    </row>
    <row r="319" spans="1:6" ht="15.6" x14ac:dyDescent="0.3">
      <c r="A319" s="34"/>
      <c r="B319" s="13">
        <v>19</v>
      </c>
      <c r="C319" s="8">
        <v>19</v>
      </c>
      <c r="D319" s="15">
        <v>2049</v>
      </c>
      <c r="E319" s="10" t="str">
        <f>VLOOKUP(D319,'[1]DATA BASE SANTRI'!$C$91:$E$513,2,FALSE)</f>
        <v>Alif Randi Putra</v>
      </c>
      <c r="F319" s="11" t="str">
        <f>VLOOKUP(D319,'[1]DATA BASE SANTRI'!$C$91:$E$513,3,FALSE)</f>
        <v>5C</v>
      </c>
    </row>
    <row r="320" spans="1:6" ht="15.6" x14ac:dyDescent="0.3">
      <c r="A320" s="34"/>
      <c r="B320" s="13">
        <v>20</v>
      </c>
      <c r="C320" s="8">
        <v>20</v>
      </c>
      <c r="D320" s="15">
        <v>2231</v>
      </c>
      <c r="E320" s="10" t="str">
        <f>VLOOKUP(D320,'[1]DATA BASE SANTRI'!$C$91:$E$513,2,FALSE)</f>
        <v xml:space="preserve">Rabiah Al-Adawiyah Rizki </v>
      </c>
      <c r="F320" s="11" t="str">
        <f>VLOOKUP(D320,'[1]DATA BASE SANTRI'!$C$91:$E$513,3,FALSE)</f>
        <v>6A</v>
      </c>
    </row>
    <row r="321" spans="1:6" ht="15.6" x14ac:dyDescent="0.3">
      <c r="A321" s="34"/>
      <c r="B321" s="13">
        <v>21</v>
      </c>
      <c r="C321" s="8">
        <v>21</v>
      </c>
      <c r="D321" s="15">
        <v>2002</v>
      </c>
      <c r="E321" s="10" t="str">
        <f>VLOOKUP(D321,'[1]DATA BASE SANTRI'!$C$91:$E$513,2,FALSE)</f>
        <v>Keisha Anindita Zahra</v>
      </c>
      <c r="F321" s="11" t="str">
        <f>VLOOKUP(D321,'[1]DATA BASE SANTRI'!$C$91:$E$513,3,FALSE)</f>
        <v>6C</v>
      </c>
    </row>
    <row r="322" spans="1:6" ht="15.6" x14ac:dyDescent="0.3">
      <c r="A322" s="34"/>
      <c r="B322" s="13">
        <v>22</v>
      </c>
      <c r="C322" s="8">
        <v>1</v>
      </c>
      <c r="D322" s="15">
        <v>2293</v>
      </c>
      <c r="E322" s="10" t="str">
        <f>VLOOKUP(D322,'[1]DATA BASE SANTRI'!$C$91:$E$513,2,FALSE)</f>
        <v>Muhammad Al Azka Dzakiandra Siwi</v>
      </c>
      <c r="F322" s="11" t="str">
        <f>VLOOKUP(D322,'[1]DATA BASE SANTRI'!$C$91:$E$513,3,FALSE)</f>
        <v>3A</v>
      </c>
    </row>
    <row r="323" spans="1:6" ht="15.6" x14ac:dyDescent="0.3">
      <c r="A323" s="34"/>
      <c r="B323" s="13">
        <v>23</v>
      </c>
      <c r="C323" s="8">
        <v>2</v>
      </c>
      <c r="D323" s="15">
        <v>2238</v>
      </c>
      <c r="E323" s="10" t="str">
        <f>VLOOKUP(D323,'[1]DATA BASE SANTRI'!$C$91:$E$513,2,FALSE)</f>
        <v>Alesya Almahyra Putri</v>
      </c>
      <c r="F323" s="11" t="str">
        <f>VLOOKUP(D323,'[1]DATA BASE SANTRI'!$C$91:$E$513,3,FALSE)</f>
        <v>3A</v>
      </c>
    </row>
    <row r="324" spans="1:6" ht="15.6" x14ac:dyDescent="0.3">
      <c r="A324" s="34"/>
      <c r="B324" s="13">
        <v>24</v>
      </c>
      <c r="C324" s="8">
        <v>3</v>
      </c>
      <c r="D324" s="15">
        <v>2299</v>
      </c>
      <c r="E324" s="10" t="str">
        <f>VLOOKUP(D324,'[1]DATA BASE SANTRI'!$C$91:$E$513,2,FALSE)</f>
        <v>Nawfan Abdul Latif</v>
      </c>
      <c r="F324" s="11" t="str">
        <f>VLOOKUP(D324,'[1]DATA BASE SANTRI'!$C$91:$E$513,3,FALSE)</f>
        <v>3A</v>
      </c>
    </row>
    <row r="325" spans="1:6" ht="15.6" x14ac:dyDescent="0.3">
      <c r="A325" s="34"/>
      <c r="B325" s="13">
        <v>25</v>
      </c>
      <c r="C325" s="8">
        <v>4</v>
      </c>
      <c r="D325" s="15">
        <v>2311</v>
      </c>
      <c r="E325" s="10" t="str">
        <f>VLOOKUP(D325,'[1]DATA BASE SANTRI'!$C$91:$E$513,2,FALSE)</f>
        <v>Shafiyyah Rayyana Zahra</v>
      </c>
      <c r="F325" s="11" t="str">
        <f>VLOOKUP(D325,'[1]DATA BASE SANTRI'!$C$91:$E$513,3,FALSE)</f>
        <v>3A</v>
      </c>
    </row>
    <row r="326" spans="1:6" ht="15.6" x14ac:dyDescent="0.3">
      <c r="A326" s="34"/>
      <c r="B326" s="13">
        <v>26</v>
      </c>
      <c r="C326" s="8">
        <v>5</v>
      </c>
      <c r="D326" s="12">
        <v>2313</v>
      </c>
      <c r="E326" s="10" t="str">
        <f>VLOOKUP(D326,'[1]DATA BASE SANTRI'!$C$91:$E$513,2,FALSE)</f>
        <v>Shakila Najma Kurniawan</v>
      </c>
      <c r="F326" s="11" t="str">
        <f>VLOOKUP(D326,'[1]DATA BASE SANTRI'!$C$91:$E$513,3,FALSE)</f>
        <v>3B</v>
      </c>
    </row>
    <row r="327" spans="1:6" ht="15.6" x14ac:dyDescent="0.3">
      <c r="A327" s="34"/>
      <c r="B327" s="13">
        <v>27</v>
      </c>
      <c r="C327" s="8">
        <v>6</v>
      </c>
      <c r="D327" s="12">
        <v>2273</v>
      </c>
      <c r="E327" s="10" t="str">
        <f>VLOOKUP(D327,'[1]DATA BASE SANTRI'!$C$91:$E$513,2,FALSE)</f>
        <v>Harumi Laksana Widyanata</v>
      </c>
      <c r="F327" s="11" t="str">
        <f>VLOOKUP(D327,'[1]DATA BASE SANTRI'!$C$91:$E$513,3,FALSE)</f>
        <v>3B</v>
      </c>
    </row>
    <row r="328" spans="1:6" ht="15.6" x14ac:dyDescent="0.3">
      <c r="A328" s="34"/>
      <c r="B328" s="13">
        <v>28</v>
      </c>
      <c r="C328" s="8">
        <v>7</v>
      </c>
      <c r="D328" s="15">
        <v>2268</v>
      </c>
      <c r="E328" s="10" t="str">
        <f>VLOOKUP(D328,'[1]DATA BASE SANTRI'!$C$91:$E$513,2,FALSE)</f>
        <v>Floweria Afsheen Azzahra</v>
      </c>
      <c r="F328" s="11" t="str">
        <f>VLOOKUP(D328,'[1]DATA BASE SANTRI'!$C$91:$E$513,3,FALSE)</f>
        <v>3B</v>
      </c>
    </row>
    <row r="329" spans="1:6" ht="15.6" x14ac:dyDescent="0.3">
      <c r="A329" s="34"/>
      <c r="B329" s="13">
        <v>29</v>
      </c>
      <c r="C329" s="8">
        <v>8</v>
      </c>
      <c r="D329" s="15">
        <v>2308</v>
      </c>
      <c r="E329" s="10" t="str">
        <f>VLOOKUP(D329,'[1]DATA BASE SANTRI'!$C$91:$E$513,2,FALSE)</f>
        <v>Rijal Maulana Gibran</v>
      </c>
      <c r="F329" s="11" t="str">
        <f>VLOOKUP(D329,'[1]DATA BASE SANTRI'!$C$91:$E$513,3,FALSE)</f>
        <v>3B</v>
      </c>
    </row>
    <row r="330" spans="1:6" ht="15.6" x14ac:dyDescent="0.3">
      <c r="A330" s="34"/>
      <c r="B330" s="13">
        <v>30</v>
      </c>
      <c r="C330" s="8">
        <v>9</v>
      </c>
      <c r="D330" s="15">
        <v>2305</v>
      </c>
      <c r="E330" s="10" t="str">
        <f>VLOOKUP(D330,'[1]DATA BASE SANTRI'!$C$91:$E$513,2,FALSE)</f>
        <v>Razel Asyraf Ghaisan Setiawan</v>
      </c>
      <c r="F330" s="11" t="str">
        <f>VLOOKUP(D330,'[1]DATA BASE SANTRI'!$C$91:$E$513,3,FALSE)</f>
        <v>3B</v>
      </c>
    </row>
    <row r="331" spans="1:6" ht="15.6" x14ac:dyDescent="0.3">
      <c r="A331" s="34"/>
      <c r="B331" s="13">
        <v>31</v>
      </c>
      <c r="C331" s="8">
        <v>10</v>
      </c>
      <c r="D331" s="15">
        <v>2289</v>
      </c>
      <c r="E331" s="10" t="str">
        <f>VLOOKUP(D331,'[1]DATA BASE SANTRI'!$C$91:$E$513,2,FALSE)</f>
        <v>Muhammad  Althaffano Dhanurendra Tama</v>
      </c>
      <c r="F331" s="11" t="str">
        <f>VLOOKUP(D331,'[1]DATA BASE SANTRI'!$C$91:$E$513,3,FALSE)</f>
        <v>3B</v>
      </c>
    </row>
    <row r="332" spans="1:6" ht="15.6" x14ac:dyDescent="0.3">
      <c r="A332" s="34"/>
      <c r="B332" s="13">
        <v>32</v>
      </c>
      <c r="C332" s="8">
        <v>11</v>
      </c>
      <c r="D332" s="15">
        <v>2269</v>
      </c>
      <c r="E332" s="10" t="str">
        <f>VLOOKUP(D332,'[1]DATA BASE SANTRI'!$C$91:$E$513,2,FALSE)</f>
        <v>Gendhis Nugroho Putri</v>
      </c>
      <c r="F332" s="11" t="str">
        <f>VLOOKUP(D332,'[1]DATA BASE SANTRI'!$C$91:$E$513,3,FALSE)</f>
        <v>3C</v>
      </c>
    </row>
    <row r="333" spans="1:6" ht="15.6" x14ac:dyDescent="0.3">
      <c r="A333" s="34"/>
      <c r="B333" s="13">
        <v>33</v>
      </c>
      <c r="C333" s="8">
        <v>12</v>
      </c>
      <c r="D333" s="15">
        <v>2187</v>
      </c>
      <c r="E333" s="10" t="str">
        <f>VLOOKUP(D333,'[1]DATA BASE SANTRI'!$C$91:$E$513,2,FALSE)</f>
        <v>Muhammad Arsenio Mahardika</v>
      </c>
      <c r="F333" s="11" t="str">
        <f>VLOOKUP(D333,'[1]DATA BASE SANTRI'!$C$91:$E$513,3,FALSE)</f>
        <v>4A</v>
      </c>
    </row>
    <row r="334" spans="1:6" ht="15.6" x14ac:dyDescent="0.3">
      <c r="A334" s="34"/>
      <c r="B334" s="13">
        <v>34</v>
      </c>
      <c r="C334" s="8">
        <v>13</v>
      </c>
      <c r="D334" s="15">
        <v>2162</v>
      </c>
      <c r="E334" s="10" t="str">
        <f>VLOOKUP(D334,'[1]DATA BASE SANTRI'!$C$91:$E$513,2,FALSE)</f>
        <v>Cherilyn Queenaya Kinandari</v>
      </c>
      <c r="F334" s="11" t="str">
        <f>VLOOKUP(D334,'[1]DATA BASE SANTRI'!$C$91:$E$513,3,FALSE)</f>
        <v>4B</v>
      </c>
    </row>
    <row r="335" spans="1:6" ht="15.6" x14ac:dyDescent="0.3">
      <c r="A335" s="34"/>
      <c r="B335" s="13">
        <v>35</v>
      </c>
      <c r="C335" s="8">
        <v>14</v>
      </c>
      <c r="D335" s="15">
        <v>2165</v>
      </c>
      <c r="E335" s="10" t="str">
        <f>VLOOKUP(D335,'[1]DATA BASE SANTRI'!$C$91:$E$513,2,FALSE)</f>
        <v>Elshanum Zhafirah Althaf</v>
      </c>
      <c r="F335" s="11" t="str">
        <f>VLOOKUP(D335,'[1]DATA BASE SANTRI'!$C$91:$E$513,3,FALSE)</f>
        <v>4B</v>
      </c>
    </row>
    <row r="336" spans="1:6" ht="15.6" x14ac:dyDescent="0.3">
      <c r="A336" s="34"/>
      <c r="B336" s="13">
        <v>36</v>
      </c>
      <c r="C336" s="8">
        <v>15</v>
      </c>
      <c r="D336" s="12">
        <v>2184</v>
      </c>
      <c r="E336" s="10" t="str">
        <f>VLOOKUP(D336,'[1]DATA BASE SANTRI'!$C$91:$E$513,2,FALSE)</f>
        <v xml:space="preserve">Moh. Alif Zakaria Suhardi </v>
      </c>
      <c r="F336" s="11" t="str">
        <f>VLOOKUP(D336,'[1]DATA BASE SANTRI'!$C$91:$E$513,3,FALSE)</f>
        <v>4C</v>
      </c>
    </row>
    <row r="337" spans="1:6" ht="15.6" x14ac:dyDescent="0.3">
      <c r="A337" s="34"/>
      <c r="B337" s="13">
        <v>37</v>
      </c>
      <c r="C337" s="8">
        <v>16</v>
      </c>
      <c r="D337" s="12">
        <v>2203</v>
      </c>
      <c r="E337" s="10" t="str">
        <f>VLOOKUP(D337,'[1]DATA BASE SANTRI'!$C$91:$E$513,2,FALSE)</f>
        <v>Rafif Ahmad Adzaky</v>
      </c>
      <c r="F337" s="11" t="str">
        <f>VLOOKUP(D337,'[1]DATA BASE SANTRI'!$C$91:$E$513,3,FALSE)</f>
        <v>4C</v>
      </c>
    </row>
    <row r="338" spans="1:6" ht="15.6" x14ac:dyDescent="0.3">
      <c r="A338" s="34"/>
      <c r="B338" s="13">
        <v>38</v>
      </c>
      <c r="C338" s="8">
        <v>17</v>
      </c>
      <c r="D338" s="12">
        <v>2190</v>
      </c>
      <c r="E338" s="10" t="str">
        <f>VLOOKUP(D338,'[1]DATA BASE SANTRI'!$C$91:$E$513,2,FALSE)</f>
        <v>Muzammil Hasbullah Rachman</v>
      </c>
      <c r="F338" s="11" t="str">
        <f>VLOOKUP(D338,'[1]DATA BASE SANTRI'!$C$91:$E$513,3,FALSE)</f>
        <v>4C</v>
      </c>
    </row>
    <row r="339" spans="1:6" ht="15.6" x14ac:dyDescent="0.3">
      <c r="A339" s="34"/>
      <c r="B339" s="13">
        <v>39</v>
      </c>
      <c r="C339" s="8">
        <v>18</v>
      </c>
      <c r="D339" s="15">
        <v>2158</v>
      </c>
      <c r="E339" s="10" t="str">
        <f>VLOOKUP(D339,'[1]DATA BASE SANTRI'!$C$91:$E$513,2,FALSE)</f>
        <v>Azka Putra Bhatara Wibisono</v>
      </c>
      <c r="F339" s="11" t="str">
        <f>VLOOKUP(D339,'[1]DATA BASE SANTRI'!$C$91:$E$513,3,FALSE)</f>
        <v>4C</v>
      </c>
    </row>
    <row r="340" spans="1:6" ht="15.6" x14ac:dyDescent="0.3">
      <c r="A340" s="34"/>
      <c r="B340" s="13">
        <v>40</v>
      </c>
      <c r="C340" s="8">
        <v>19</v>
      </c>
      <c r="D340" s="15">
        <v>2142</v>
      </c>
      <c r="E340" s="10" t="str">
        <f>VLOOKUP(D340,'[1]DATA BASE SANTRI'!$C$91:$E$513,2,FALSE)</f>
        <v>Almeira Deandra Latisha Zafarani</v>
      </c>
      <c r="F340" s="11" t="str">
        <f>VLOOKUP(D340,'[1]DATA BASE SANTRI'!$C$91:$E$513,3,FALSE)</f>
        <v>4C</v>
      </c>
    </row>
    <row r="341" spans="1:6" ht="15.6" x14ac:dyDescent="0.3">
      <c r="A341" s="34"/>
      <c r="B341" s="13">
        <v>41</v>
      </c>
      <c r="C341" s="8">
        <v>20</v>
      </c>
      <c r="D341" s="15">
        <v>2089</v>
      </c>
      <c r="E341" s="10" t="str">
        <f>VLOOKUP(D341,'[1]DATA BASE SANTRI'!$C$91:$E$513,2,FALSE)</f>
        <v>Muhammad Abidzar Affandi</v>
      </c>
      <c r="F341" s="11" t="str">
        <f>VLOOKUP(D341,'[1]DATA BASE SANTRI'!$C$91:$E$513,3,FALSE)</f>
        <v>5C</v>
      </c>
    </row>
    <row r="342" spans="1:6" ht="15.6" x14ac:dyDescent="0.3">
      <c r="A342" s="34"/>
      <c r="B342" s="13">
        <v>42</v>
      </c>
      <c r="C342" s="8">
        <v>21</v>
      </c>
      <c r="D342" s="15">
        <v>2087</v>
      </c>
      <c r="E342" s="10" t="str">
        <f>VLOOKUP(D342,'[1]DATA BASE SANTRI'!$C$91:$E$513,2,FALSE)</f>
        <v>Mirza Kaleandra Arta Ahza</v>
      </c>
      <c r="F342" s="11" t="str">
        <f>VLOOKUP(D342,'[1]DATA BASE SANTRI'!$C$91:$E$513,3,FALSE)</f>
        <v>5C</v>
      </c>
    </row>
    <row r="343" spans="1:6" ht="15.45" customHeight="1" x14ac:dyDescent="0.3">
      <c r="A343" s="35" t="s">
        <v>12</v>
      </c>
      <c r="B343" s="12">
        <v>1</v>
      </c>
      <c r="C343" s="12">
        <v>1</v>
      </c>
      <c r="D343" s="15">
        <v>2297</v>
      </c>
      <c r="E343" s="10" t="str">
        <f>VLOOKUP(D343,'[1]DATA BASE SANTRI'!$C$91:$E$513,2,FALSE)</f>
        <v>Nadira Arifany Safrudin</v>
      </c>
      <c r="F343" s="11" t="str">
        <f>VLOOKUP(D343,'[1]DATA BASE SANTRI'!$C$91:$E$513,3,FALSE)</f>
        <v>3B</v>
      </c>
    </row>
    <row r="344" spans="1:6" ht="15.45" customHeight="1" x14ac:dyDescent="0.3">
      <c r="A344" s="35"/>
      <c r="B344" s="12">
        <v>2</v>
      </c>
      <c r="C344" s="12">
        <v>2</v>
      </c>
      <c r="D344" s="15">
        <v>2290</v>
      </c>
      <c r="E344" s="10" t="str">
        <f>VLOOKUP(D344,'[1]DATA BASE SANTRI'!$C$91:$E$513,2,FALSE)</f>
        <v>Muhammad Azfar El-Barraq</v>
      </c>
      <c r="F344" s="11" t="str">
        <f>VLOOKUP(D344,'[1]DATA BASE SANTRI'!$C$91:$E$513,3,FALSE)</f>
        <v>3B</v>
      </c>
    </row>
    <row r="345" spans="1:6" ht="15.45" customHeight="1" x14ac:dyDescent="0.3">
      <c r="A345" s="35"/>
      <c r="B345" s="12">
        <v>3</v>
      </c>
      <c r="C345" s="12">
        <v>3</v>
      </c>
      <c r="D345" s="15">
        <v>2147</v>
      </c>
      <c r="E345" s="10" t="str">
        <f>VLOOKUP(D345,'[1]DATA BASE SANTRI'!$C$91:$E$513,2,FALSE)</f>
        <v>Anindita Keisha Rahmawati</v>
      </c>
      <c r="F345" s="11" t="str">
        <f>VLOOKUP(D345,'[1]DATA BASE SANTRI'!$C$91:$E$513,3,FALSE)</f>
        <v>4A</v>
      </c>
    </row>
    <row r="346" spans="1:6" ht="15.45" customHeight="1" x14ac:dyDescent="0.3">
      <c r="A346" s="35"/>
      <c r="B346" s="12">
        <v>4</v>
      </c>
      <c r="C346" s="12">
        <v>4</v>
      </c>
      <c r="D346" s="15">
        <v>2149</v>
      </c>
      <c r="E346" s="10" t="str">
        <f>VLOOKUP(D346,'[1]DATA BASE SANTRI'!$C$91:$E$513,2,FALSE)</f>
        <v>Arsakha Virendra Setiawan</v>
      </c>
      <c r="F346" s="11" t="str">
        <f>VLOOKUP(D346,'[1]DATA BASE SANTRI'!$C$91:$E$513,3,FALSE)</f>
        <v>4A</v>
      </c>
    </row>
    <row r="347" spans="1:6" ht="15.45" customHeight="1" x14ac:dyDescent="0.3">
      <c r="A347" s="35"/>
      <c r="B347" s="12">
        <v>5</v>
      </c>
      <c r="C347" s="12">
        <v>5</v>
      </c>
      <c r="D347" s="15">
        <v>2151</v>
      </c>
      <c r="E347" s="10" t="str">
        <f>VLOOKUP(D347,'[1]DATA BASE SANTRI'!$C$91:$E$513,2,FALSE)</f>
        <v>Arshana Elvanno Chandra</v>
      </c>
      <c r="F347" s="11" t="str">
        <f>VLOOKUP(D347,'[1]DATA BASE SANTRI'!$C$91:$E$513,3,FALSE)</f>
        <v>4B</v>
      </c>
    </row>
    <row r="348" spans="1:6" ht="15.45" customHeight="1" x14ac:dyDescent="0.3">
      <c r="A348" s="35"/>
      <c r="B348" s="12">
        <v>6</v>
      </c>
      <c r="C348" s="12">
        <v>6</v>
      </c>
      <c r="D348" s="15">
        <v>2186</v>
      </c>
      <c r="E348" s="10" t="str">
        <f>VLOOKUP(D348,'[1]DATA BASE SANTRI'!$C$91:$E$513,2,FALSE)</f>
        <v>Muhammad Afzam Rafka Farzani Praharjo</v>
      </c>
      <c r="F348" s="11" t="str">
        <f>VLOOKUP(D348,'[1]DATA BASE SANTRI'!$C$91:$E$513,3,FALSE)</f>
        <v>4C</v>
      </c>
    </row>
    <row r="349" spans="1:6" ht="15.45" customHeight="1" x14ac:dyDescent="0.3">
      <c r="A349" s="35"/>
      <c r="B349" s="12">
        <v>7</v>
      </c>
      <c r="C349" s="12">
        <v>7</v>
      </c>
      <c r="D349" s="15">
        <v>2181</v>
      </c>
      <c r="E349" s="10" t="str">
        <f>VLOOKUP(D349,'[1]DATA BASE SANTRI'!$C$91:$E$513,2,FALSE)</f>
        <v>Meyla Kanaya Ardelia</v>
      </c>
      <c r="F349" s="11" t="str">
        <f>VLOOKUP(D349,'[1]DATA BASE SANTRI'!$C$91:$E$513,3,FALSE)</f>
        <v>4C</v>
      </c>
    </row>
    <row r="350" spans="1:6" ht="15.45" customHeight="1" x14ac:dyDescent="0.3">
      <c r="A350" s="35"/>
      <c r="B350" s="12">
        <v>8</v>
      </c>
      <c r="C350" s="12">
        <v>8</v>
      </c>
      <c r="D350" s="12">
        <v>2160</v>
      </c>
      <c r="E350" s="10" t="str">
        <f>VLOOKUP(D350,'[1]DATA BASE SANTRI'!$C$91:$E$513,2,FALSE)</f>
        <v>Baefatha Oziel Artanabil</v>
      </c>
      <c r="F350" s="11" t="str">
        <f>VLOOKUP(D350,'[1]DATA BASE SANTRI'!$C$91:$E$513,3,FALSE)</f>
        <v>4C</v>
      </c>
    </row>
    <row r="351" spans="1:6" ht="15.45" customHeight="1" x14ac:dyDescent="0.3">
      <c r="A351" s="35"/>
      <c r="B351" s="12">
        <v>9</v>
      </c>
      <c r="C351" s="12">
        <v>9</v>
      </c>
      <c r="D351" s="15">
        <v>2183</v>
      </c>
      <c r="E351" s="10" t="str">
        <f>VLOOKUP(D351,'[1]DATA BASE SANTRI'!$C$91:$E$513,2,FALSE)</f>
        <v>Mikayla Qaireen  Alnaira</v>
      </c>
      <c r="F351" s="11" t="str">
        <f>VLOOKUP(D351,'[1]DATA BASE SANTRI'!$C$91:$E$513,3,FALSE)</f>
        <v>4C</v>
      </c>
    </row>
    <row r="352" spans="1:6" ht="15.45" customHeight="1" x14ac:dyDescent="0.3">
      <c r="A352" s="35"/>
      <c r="B352" s="12">
        <v>10</v>
      </c>
      <c r="C352" s="12">
        <v>10</v>
      </c>
      <c r="D352" s="15">
        <v>2044</v>
      </c>
      <c r="E352" s="10" t="str">
        <f>VLOOKUP(D352,'[1]DATA BASE SANTRI'!$C$91:$E$513,2,FALSE)</f>
        <v>Ain Nun Lam Alifiya</v>
      </c>
      <c r="F352" s="11" t="str">
        <f>VLOOKUP(D352,'[1]DATA BASE SANTRI'!$C$91:$E$513,3,FALSE)</f>
        <v>5A</v>
      </c>
    </row>
    <row r="353" spans="1:6" ht="15.45" customHeight="1" x14ac:dyDescent="0.3">
      <c r="A353" s="35"/>
      <c r="B353" s="12">
        <v>11</v>
      </c>
      <c r="C353" s="12">
        <v>11</v>
      </c>
      <c r="D353" s="15">
        <v>2117</v>
      </c>
      <c r="E353" s="10" t="str">
        <f>VLOOKUP(D353,'[1]DATA BASE SANTRI'!$C$91:$E$513,2,FALSE)</f>
        <v>Syafira Khusnia A'bidah</v>
      </c>
      <c r="F353" s="11" t="str">
        <f>VLOOKUP(D353,'[1]DATA BASE SANTRI'!$C$91:$E$513,3,FALSE)</f>
        <v>5A</v>
      </c>
    </row>
    <row r="354" spans="1:6" ht="15.45" customHeight="1" x14ac:dyDescent="0.3">
      <c r="A354" s="35"/>
      <c r="B354" s="12">
        <v>12</v>
      </c>
      <c r="C354" s="12">
        <v>12</v>
      </c>
      <c r="D354" s="15">
        <v>2086</v>
      </c>
      <c r="E354" s="10" t="str">
        <f>VLOOKUP(D354,'[1]DATA BASE SANTRI'!$C$91:$E$513,2,FALSE)</f>
        <v>Marcellina Nabila Ulfa</v>
      </c>
      <c r="F354" s="11" t="str">
        <f>VLOOKUP(D354,'[1]DATA BASE SANTRI'!$C$91:$E$513,3,FALSE)</f>
        <v>5C</v>
      </c>
    </row>
    <row r="355" spans="1:6" ht="15.45" customHeight="1" x14ac:dyDescent="0.3">
      <c r="A355" s="35"/>
      <c r="B355" s="12">
        <v>13</v>
      </c>
      <c r="C355" s="12">
        <v>13</v>
      </c>
      <c r="D355" s="15">
        <v>2052</v>
      </c>
      <c r="E355" s="10" t="str">
        <f>VLOOKUP(D355,'[1]DATA BASE SANTRI'!$C$91:$E$513,2,FALSE)</f>
        <v>Almeeransi Xavier Gwenyver Rysean</v>
      </c>
      <c r="F355" s="11" t="str">
        <f>VLOOKUP(D355,'[1]DATA BASE SANTRI'!$C$91:$E$513,3,FALSE)</f>
        <v>5C</v>
      </c>
    </row>
    <row r="356" spans="1:6" ht="15.45" customHeight="1" x14ac:dyDescent="0.3">
      <c r="A356" s="35"/>
      <c r="B356" s="12">
        <v>14</v>
      </c>
      <c r="C356" s="12">
        <v>14</v>
      </c>
      <c r="D356" s="12">
        <v>1968</v>
      </c>
      <c r="E356" s="10" t="str">
        <f>VLOOKUP(D356,'[1]DATA BASE SANTRI'!$C$91:$E$513,2,FALSE)</f>
        <v>Akhtar Raffasya Al-Hanief</v>
      </c>
      <c r="F356" s="11" t="str">
        <f>VLOOKUP(D356,'[1]DATA BASE SANTRI'!$C$91:$E$513,3,FALSE)</f>
        <v>6A</v>
      </c>
    </row>
    <row r="357" spans="1:6" ht="15.45" customHeight="1" x14ac:dyDescent="0.3">
      <c r="A357" s="35"/>
      <c r="B357" s="12">
        <v>15</v>
      </c>
      <c r="C357" s="12">
        <v>15</v>
      </c>
      <c r="D357" s="15">
        <v>1992</v>
      </c>
      <c r="E357" s="10" t="str">
        <f>VLOOKUP(D357,'[1]DATA BASE SANTRI'!$C$91:$E$513,2,FALSE)</f>
        <v>Ganendra Arya Abiyasa</v>
      </c>
      <c r="F357" s="11" t="str">
        <f>VLOOKUP(D357,'[1]DATA BASE SANTRI'!$C$91:$E$513,3,FALSE)</f>
        <v>6A</v>
      </c>
    </row>
    <row r="358" spans="1:6" ht="15.45" customHeight="1" x14ac:dyDescent="0.3">
      <c r="A358" s="35"/>
      <c r="B358" s="12">
        <v>16</v>
      </c>
      <c r="C358" s="12">
        <v>16</v>
      </c>
      <c r="D358" s="12">
        <v>2126</v>
      </c>
      <c r="E358" s="10" t="str">
        <f>VLOOKUP(D358,'[1]DATA BASE SANTRI'!$C$91:$E$513,2,FALSE)</f>
        <v xml:space="preserve">Hana Aahitsyah Chika Santoso </v>
      </c>
      <c r="F358" s="11" t="str">
        <f>VLOOKUP(D358,'[1]DATA BASE SANTRI'!$C$91:$E$513,3,FALSE)</f>
        <v>6B</v>
      </c>
    </row>
    <row r="359" spans="1:6" ht="15.45" customHeight="1" x14ac:dyDescent="0.3">
      <c r="A359" s="35"/>
      <c r="B359" s="12">
        <v>17</v>
      </c>
      <c r="C359" s="12">
        <v>17</v>
      </c>
      <c r="D359" s="15">
        <v>1967</v>
      </c>
      <c r="E359" s="10" t="str">
        <f>VLOOKUP(D359,'[1]DATA BASE SANTRI'!$C$91:$E$513,2,FALSE)</f>
        <v>Akbar Aqma Pratama</v>
      </c>
      <c r="F359" s="11" t="str">
        <f>VLOOKUP(D359,'[1]DATA BASE SANTRI'!$C$91:$E$513,3,FALSE)</f>
        <v>6B</v>
      </c>
    </row>
    <row r="360" spans="1:6" ht="15.45" customHeight="1" x14ac:dyDescent="0.3">
      <c r="A360" s="35"/>
      <c r="B360" s="12">
        <v>18</v>
      </c>
      <c r="C360" s="12">
        <v>18</v>
      </c>
      <c r="D360" s="15">
        <v>2028</v>
      </c>
      <c r="E360" s="10" t="str">
        <f>VLOOKUP(D360,'[1]DATA BASE SANTRI'!$C$91:$E$513,2,FALSE)</f>
        <v>Septa Muhammad Habibie Ramadhan</v>
      </c>
      <c r="F360" s="11" t="str">
        <f>VLOOKUP(D360,'[1]DATA BASE SANTRI'!$C$91:$E$513,3,FALSE)</f>
        <v>6C</v>
      </c>
    </row>
    <row r="361" spans="1:6" ht="15.45" customHeight="1" x14ac:dyDescent="0.3">
      <c r="A361" s="35"/>
      <c r="B361" s="12">
        <v>19</v>
      </c>
      <c r="C361" s="12">
        <v>19</v>
      </c>
      <c r="D361" s="15">
        <v>2020</v>
      </c>
      <c r="E361" s="10" t="str">
        <f>VLOOKUP(D361,'[1]DATA BASE SANTRI'!$C$91:$E$513,2,FALSE)</f>
        <v>Naura Bilqis Khumaira</v>
      </c>
      <c r="F361" s="11" t="str">
        <f>VLOOKUP(D361,'[1]DATA BASE SANTRI'!$C$91:$E$513,3,FALSE)</f>
        <v>6C</v>
      </c>
    </row>
    <row r="362" spans="1:6" ht="15.45" customHeight="1" x14ac:dyDescent="0.3">
      <c r="A362" s="35"/>
      <c r="B362" s="12">
        <v>20</v>
      </c>
      <c r="C362" s="12">
        <v>20</v>
      </c>
      <c r="D362" s="12">
        <v>2001</v>
      </c>
      <c r="E362" s="10" t="str">
        <f>VLOOKUP(D362,'[1]DATA BASE SANTRI'!$C$91:$E$513,2,FALSE)</f>
        <v>Keanu Lingga Wardhana</v>
      </c>
      <c r="F362" s="11" t="str">
        <f>VLOOKUP(D362,'[1]DATA BASE SANTRI'!$C$91:$E$513,3,FALSE)</f>
        <v>6C</v>
      </c>
    </row>
    <row r="363" spans="1:6" ht="15.45" customHeight="1" x14ac:dyDescent="0.3">
      <c r="A363" s="35"/>
      <c r="B363" s="12">
        <v>21</v>
      </c>
      <c r="C363" s="12">
        <v>1</v>
      </c>
      <c r="D363" s="15">
        <v>2302</v>
      </c>
      <c r="E363" s="10" t="str">
        <f>VLOOKUP(D363,'[1]DATA BASE SANTRI'!$C$91:$E$513,2,FALSE)</f>
        <v>Nusaibah Jannatun Najmi</v>
      </c>
      <c r="F363" s="11" t="str">
        <f>VLOOKUP(D363,'[1]DATA BASE SANTRI'!$C$91:$E$513,3,FALSE)</f>
        <v>3A</v>
      </c>
    </row>
    <row r="364" spans="1:6" ht="15.45" customHeight="1" x14ac:dyDescent="0.3">
      <c r="A364" s="35"/>
      <c r="B364" s="12">
        <v>22</v>
      </c>
      <c r="C364" s="12">
        <v>2</v>
      </c>
      <c r="D364" s="12">
        <v>2312</v>
      </c>
      <c r="E364" s="10" t="str">
        <f>VLOOKUP(D364,'[1]DATA BASE SANTRI'!$C$91:$E$513,2,FALSE)</f>
        <v>Shanaya Naura Rahma</v>
      </c>
      <c r="F364" s="11" t="str">
        <f>VLOOKUP(D364,'[1]DATA BASE SANTRI'!$C$91:$E$513,3,FALSE)</f>
        <v>3A</v>
      </c>
    </row>
    <row r="365" spans="1:6" ht="15.45" customHeight="1" x14ac:dyDescent="0.3">
      <c r="A365" s="35"/>
      <c r="B365" s="12">
        <v>23</v>
      </c>
      <c r="C365" s="12">
        <v>3</v>
      </c>
      <c r="D365" s="15">
        <v>2248</v>
      </c>
      <c r="E365" s="10" t="str">
        <f>VLOOKUP(D365,'[1]DATA BASE SANTRI'!$C$91:$E$513,2,FALSE)</f>
        <v>Arsyila Nuha Zahira Winanti</v>
      </c>
      <c r="F365" s="11" t="str">
        <f>VLOOKUP(D365,'[1]DATA BASE SANTRI'!$C$91:$E$513,3,FALSE)</f>
        <v>3B</v>
      </c>
    </row>
    <row r="366" spans="1:6" ht="15.45" customHeight="1" x14ac:dyDescent="0.3">
      <c r="A366" s="35"/>
      <c r="B366" s="12">
        <v>24</v>
      </c>
      <c r="C366" s="12">
        <v>4</v>
      </c>
      <c r="D366" s="15">
        <v>2202</v>
      </c>
      <c r="E366" s="10" t="str">
        <f>VLOOKUP(D366,'[1]DATA BASE SANTRI'!$C$91:$E$513,2,FALSE)</f>
        <v>Rabbani Pramudya Athmar</v>
      </c>
      <c r="F366" s="11" t="str">
        <f>VLOOKUP(D366,'[1]DATA BASE SANTRI'!$C$91:$E$513,3,FALSE)</f>
        <v>4A</v>
      </c>
    </row>
    <row r="367" spans="1:6" ht="15.45" customHeight="1" x14ac:dyDescent="0.3">
      <c r="A367" s="35"/>
      <c r="B367" s="12">
        <v>25</v>
      </c>
      <c r="C367" s="12">
        <v>5</v>
      </c>
      <c r="D367" s="15">
        <v>2210</v>
      </c>
      <c r="E367" s="10" t="str">
        <f>VLOOKUP(D367,'[1]DATA BASE SANTRI'!$C$91:$E$513,2,FALSE)</f>
        <v>Reyvano Ayrton Damarjati</v>
      </c>
      <c r="F367" s="11" t="str">
        <f>VLOOKUP(D367,'[1]DATA BASE SANTRI'!$C$91:$E$513,3,FALSE)</f>
        <v>4A</v>
      </c>
    </row>
    <row r="368" spans="1:6" ht="15.45" customHeight="1" x14ac:dyDescent="0.3">
      <c r="A368" s="35"/>
      <c r="B368" s="12">
        <v>26</v>
      </c>
      <c r="C368" s="12">
        <v>6</v>
      </c>
      <c r="D368" s="15">
        <v>2175</v>
      </c>
      <c r="E368" s="10" t="str">
        <f>VLOOKUP(D368,'[1]DATA BASE SANTRI'!$C$91:$E$513,2,FALSE)</f>
        <v xml:space="preserve">Kalila Oktsaila Putri </v>
      </c>
      <c r="F368" s="11" t="str">
        <f>VLOOKUP(D368,'[1]DATA BASE SANTRI'!$C$91:$E$513,3,FALSE)</f>
        <v>4A</v>
      </c>
    </row>
    <row r="369" spans="1:6" ht="15.45" customHeight="1" x14ac:dyDescent="0.3">
      <c r="A369" s="35"/>
      <c r="B369" s="12">
        <v>27</v>
      </c>
      <c r="C369" s="12">
        <v>7</v>
      </c>
      <c r="D369" s="15">
        <v>2197</v>
      </c>
      <c r="E369" s="10" t="str">
        <f>VLOOKUP(D369,'[1]DATA BASE SANTRI'!$C$91:$E$513,2,FALSE)</f>
        <v>Nazma Ayla Sakhi</v>
      </c>
      <c r="F369" s="11" t="str">
        <f>VLOOKUP(D369,'[1]DATA BASE SANTRI'!$C$91:$E$513,3,FALSE)</f>
        <v>4A</v>
      </c>
    </row>
    <row r="370" spans="1:6" ht="15.45" customHeight="1" x14ac:dyDescent="0.3">
      <c r="A370" s="35"/>
      <c r="B370" s="12">
        <v>28</v>
      </c>
      <c r="C370" s="12">
        <v>8</v>
      </c>
      <c r="D370" s="15">
        <v>2194</v>
      </c>
      <c r="E370" s="10" t="str">
        <f>VLOOKUP(D370,'[1]DATA BASE SANTRI'!$C$91:$E$513,2,FALSE)</f>
        <v>Muhammad Rizki Alfaro</v>
      </c>
      <c r="F370" s="11" t="str">
        <f>VLOOKUP(D370,'[1]DATA BASE SANTRI'!$C$91:$E$513,3,FALSE)</f>
        <v>4A</v>
      </c>
    </row>
    <row r="371" spans="1:6" ht="15.45" customHeight="1" x14ac:dyDescent="0.3">
      <c r="A371" s="35"/>
      <c r="B371" s="12">
        <v>29</v>
      </c>
      <c r="C371" s="12">
        <v>9</v>
      </c>
      <c r="D371" s="15">
        <v>2157</v>
      </c>
      <c r="E371" s="10" t="str">
        <f>VLOOKUP(D371,'[1]DATA BASE SANTRI'!$C$91:$E$513,2,FALSE)</f>
        <v>Azmya Elshanum Putri Viansya</v>
      </c>
      <c r="F371" s="11" t="str">
        <f>VLOOKUP(D371,'[1]DATA BASE SANTRI'!$C$91:$E$513,3,FALSE)</f>
        <v>4A</v>
      </c>
    </row>
    <row r="372" spans="1:6" ht="15.45" customHeight="1" x14ac:dyDescent="0.3">
      <c r="A372" s="35"/>
      <c r="B372" s="12">
        <v>30</v>
      </c>
      <c r="C372" s="12">
        <v>10</v>
      </c>
      <c r="D372" s="15">
        <v>2159</v>
      </c>
      <c r="E372" s="10" t="str">
        <f>VLOOKUP(D372,'[1]DATA BASE SANTRI'!$C$91:$E$513,2,FALSE)</f>
        <v>Azqiara Zaafarani Achmad</v>
      </c>
      <c r="F372" s="11" t="str">
        <f>VLOOKUP(D372,'[1]DATA BASE SANTRI'!$C$91:$E$513,3,FALSE)</f>
        <v>4B</v>
      </c>
    </row>
    <row r="373" spans="1:6" ht="15.45" customHeight="1" x14ac:dyDescent="0.3">
      <c r="A373" s="35"/>
      <c r="B373" s="12">
        <v>31</v>
      </c>
      <c r="C373" s="12">
        <v>11</v>
      </c>
      <c r="D373" s="15">
        <v>2188</v>
      </c>
      <c r="E373" s="10" t="str">
        <f>VLOOKUP(D373,'[1]DATA BASE SANTRI'!$C$91:$E$513,2,FALSE)</f>
        <v>Muhammad Askhabul Kahfi</v>
      </c>
      <c r="F373" s="11" t="str">
        <f>VLOOKUP(D373,'[1]DATA BASE SANTRI'!$C$91:$E$513,3,FALSE)</f>
        <v>4B</v>
      </c>
    </row>
    <row r="374" spans="1:6" ht="15.45" customHeight="1" x14ac:dyDescent="0.3">
      <c r="A374" s="35"/>
      <c r="B374" s="12">
        <v>32</v>
      </c>
      <c r="C374" s="12">
        <v>12</v>
      </c>
      <c r="D374" s="15">
        <v>2084</v>
      </c>
      <c r="E374" s="10" t="str">
        <f>VLOOKUP(D374,'[1]DATA BASE SANTRI'!$C$91:$E$513,2,FALSE)</f>
        <v>Kinandaru Fajria Mariyani Putri</v>
      </c>
      <c r="F374" s="11" t="str">
        <f>VLOOKUP(D374,'[1]DATA BASE SANTRI'!$C$91:$E$513,3,FALSE)</f>
        <v>5B</v>
      </c>
    </row>
    <row r="375" spans="1:6" ht="15.45" customHeight="1" x14ac:dyDescent="0.3">
      <c r="A375" s="35"/>
      <c r="B375" s="12">
        <v>33</v>
      </c>
      <c r="C375" s="12">
        <v>13</v>
      </c>
      <c r="D375" s="15">
        <v>2041</v>
      </c>
      <c r="E375" s="10" t="str">
        <f>VLOOKUP(D375,'[1]DATA BASE SANTRI'!$C$91:$E$513,2,FALSE)</f>
        <v>Ahmad Azka Azfar Syarafuddin</v>
      </c>
      <c r="F375" s="11" t="str">
        <f>VLOOKUP(D375,'[1]DATA BASE SANTRI'!$C$91:$E$513,3,FALSE)</f>
        <v>5B</v>
      </c>
    </row>
    <row r="376" spans="1:6" ht="15.45" customHeight="1" x14ac:dyDescent="0.3">
      <c r="A376" s="35"/>
      <c r="B376" s="12">
        <v>34</v>
      </c>
      <c r="C376" s="12">
        <v>14</v>
      </c>
      <c r="D376" s="15">
        <v>2055</v>
      </c>
      <c r="E376" s="10" t="str">
        <f>VLOOKUP(D376,'[1]DATA BASE SANTRI'!$C$91:$E$513,2,FALSE)</f>
        <v>Andini Arfiana Jasmine</v>
      </c>
      <c r="F376" s="11" t="str">
        <f>VLOOKUP(D376,'[1]DATA BASE SANTRI'!$C$91:$E$513,3,FALSE)</f>
        <v>5C</v>
      </c>
    </row>
    <row r="377" spans="1:6" ht="15.45" customHeight="1" x14ac:dyDescent="0.3">
      <c r="A377" s="36"/>
      <c r="B377" s="12">
        <v>35</v>
      </c>
      <c r="C377" s="12">
        <v>15</v>
      </c>
      <c r="D377" s="12">
        <v>2071</v>
      </c>
      <c r="E377" s="10" t="str">
        <f>VLOOKUP(D377,'[1]DATA BASE SANTRI'!$C$91:$E$513,2,FALSE)</f>
        <v>Elvina Zahrani Aura Kalya</v>
      </c>
      <c r="F377" s="11" t="str">
        <f>VLOOKUP(D377,'[1]DATA BASE SANTRI'!$C$91:$E$513,3,FALSE)</f>
        <v>5C</v>
      </c>
    </row>
    <row r="378" spans="1:6" ht="15.45" customHeight="1" x14ac:dyDescent="0.3">
      <c r="A378" s="37" t="s">
        <v>13</v>
      </c>
      <c r="B378" s="12">
        <v>1</v>
      </c>
      <c r="C378" s="12">
        <v>16</v>
      </c>
      <c r="D378" s="12">
        <v>1983</v>
      </c>
      <c r="E378" s="10" t="str">
        <f>VLOOKUP(D378,'[1]DATA BASE SANTRI'!$C$91:$E$513,2,FALSE)</f>
        <v>Daffian Elang Syahputra</v>
      </c>
      <c r="F378" s="11" t="str">
        <f>VLOOKUP(D378,'[1]DATA BASE SANTRI'!$C$91:$E$513,3,FALSE)</f>
        <v>6B</v>
      </c>
    </row>
    <row r="379" spans="1:6" ht="15.45" customHeight="1" x14ac:dyDescent="0.3">
      <c r="A379" s="38"/>
      <c r="B379" s="12">
        <v>2</v>
      </c>
      <c r="C379" s="12">
        <v>17</v>
      </c>
      <c r="D379" s="15">
        <v>2013</v>
      </c>
      <c r="E379" s="10" t="str">
        <f>VLOOKUP(D379,'[1]DATA BASE SANTRI'!$C$91:$E$513,2,FALSE)</f>
        <v>Muhammad Zidan Al Farizi</v>
      </c>
      <c r="F379" s="11" t="str">
        <f>VLOOKUP(D379,'[1]DATA BASE SANTRI'!$C$91:$E$513,3,FALSE)</f>
        <v>6B</v>
      </c>
    </row>
    <row r="380" spans="1:6" ht="15.45" customHeight="1" x14ac:dyDescent="0.3">
      <c r="A380" s="38"/>
      <c r="B380" s="12">
        <v>3</v>
      </c>
      <c r="C380" s="12">
        <v>18</v>
      </c>
      <c r="D380" s="15">
        <v>1989</v>
      </c>
      <c r="E380" s="10" t="str">
        <f>VLOOKUP(D380,'[1]DATA BASE SANTRI'!$C$91:$E$513,2,FALSE)</f>
        <v>Fayyadh Labib Ullaya Al-Ghazi</v>
      </c>
      <c r="F380" s="11" t="str">
        <f>VLOOKUP(D380,'[1]DATA BASE SANTRI'!$C$91:$E$513,3,FALSE)</f>
        <v>6C</v>
      </c>
    </row>
    <row r="381" spans="1:6" ht="15.45" customHeight="1" x14ac:dyDescent="0.3">
      <c r="A381" s="38"/>
      <c r="B381" s="12">
        <v>4</v>
      </c>
      <c r="C381" s="12">
        <v>19</v>
      </c>
      <c r="D381" s="12">
        <v>2229</v>
      </c>
      <c r="E381" s="10" t="str">
        <f>VLOOKUP(D381,'[1]DATA BASE SANTRI'!$C$91:$E$513,2,FALSE)</f>
        <v xml:space="preserve">Mikhayla Dafni Arraudha </v>
      </c>
      <c r="F381" s="11" t="str">
        <f>VLOOKUP(D381,'[1]DATA BASE SANTRI'!$C$91:$E$513,3,FALSE)</f>
        <v>6C</v>
      </c>
    </row>
    <row r="382" spans="1:6" ht="15.45" customHeight="1" x14ac:dyDescent="0.3">
      <c r="A382" s="38"/>
      <c r="B382" s="12">
        <v>5</v>
      </c>
      <c r="C382" s="12">
        <v>20</v>
      </c>
      <c r="D382" s="15">
        <v>2007</v>
      </c>
      <c r="E382" s="10" t="str">
        <f>VLOOKUP(D382,'[1]DATA BASE SANTRI'!$C$91:$E$513,2,FALSE)</f>
        <v>Moreno Damarjati Ramadhan</v>
      </c>
      <c r="F382" s="11" t="str">
        <f>VLOOKUP(D382,'[1]DATA BASE SANTRI'!$C$91:$E$513,3,FALSE)</f>
        <v>6C</v>
      </c>
    </row>
    <row r="383" spans="1:6" ht="15.45" customHeight="1" x14ac:dyDescent="0.3">
      <c r="A383" s="38"/>
      <c r="B383" s="12">
        <v>6</v>
      </c>
      <c r="C383" s="12">
        <v>1</v>
      </c>
      <c r="D383" s="12">
        <v>2154</v>
      </c>
      <c r="E383" s="10" t="str">
        <f>VLOOKUP(D383,'[1]DATA BASE SANTRI'!$C$91:$E$513,2,FALSE)</f>
        <v>Ashylla Fateen Almahyra</v>
      </c>
      <c r="F383" s="11" t="str">
        <f>VLOOKUP(D383,'[1]DATA BASE SANTRI'!$C$91:$E$513,3,FALSE)</f>
        <v>4B</v>
      </c>
    </row>
    <row r="384" spans="1:6" ht="15.45" customHeight="1" x14ac:dyDescent="0.3">
      <c r="A384" s="38"/>
      <c r="B384" s="12">
        <v>7</v>
      </c>
      <c r="C384" s="12">
        <v>2</v>
      </c>
      <c r="D384" s="15">
        <v>2141</v>
      </c>
      <c r="E384" s="10" t="str">
        <f>VLOOKUP(D384,'[1]DATA BASE SANTRI'!$C$91:$E$513,2,FALSE)</f>
        <v>Alifiyan Raadhiika Zafran Mulyanto</v>
      </c>
      <c r="F384" s="11" t="str">
        <f>VLOOKUP(D384,'[1]DATA BASE SANTRI'!$C$91:$E$513,3,FALSE)</f>
        <v>4B</v>
      </c>
    </row>
    <row r="385" spans="1:6" ht="15.45" customHeight="1" x14ac:dyDescent="0.3">
      <c r="A385" s="38"/>
      <c r="B385" s="12">
        <v>8</v>
      </c>
      <c r="C385" s="12">
        <v>3</v>
      </c>
      <c r="D385" s="15">
        <v>2220</v>
      </c>
      <c r="E385" s="10" t="str">
        <f>VLOOKUP(D385,'[1]DATA BASE SANTRI'!$C$91:$E$513,2,FALSE)</f>
        <v>Thoddy Ahmad Yusuf Whiranatha</v>
      </c>
      <c r="F385" s="11" t="str">
        <f>VLOOKUP(D385,'[1]DATA BASE SANTRI'!$C$91:$E$513,3,FALSE)</f>
        <v>4B</v>
      </c>
    </row>
    <row r="386" spans="1:6" ht="15.45" customHeight="1" x14ac:dyDescent="0.3">
      <c r="A386" s="38"/>
      <c r="B386" s="12">
        <v>9</v>
      </c>
      <c r="C386" s="12">
        <v>4</v>
      </c>
      <c r="D386" s="15">
        <v>2221</v>
      </c>
      <c r="E386" s="10" t="str">
        <f>VLOOKUP(D386,'[1]DATA BASE SANTRI'!$C$91:$E$513,2,FALSE)</f>
        <v>Tyee Maska Al Rasyid Syaga</v>
      </c>
      <c r="F386" s="11" t="str">
        <f>VLOOKUP(D386,'[1]DATA BASE SANTRI'!$C$91:$E$513,3,FALSE)</f>
        <v>4C</v>
      </c>
    </row>
    <row r="387" spans="1:6" ht="15.45" customHeight="1" x14ac:dyDescent="0.3">
      <c r="A387" s="38"/>
      <c r="B387" s="12">
        <v>10</v>
      </c>
      <c r="C387" s="12">
        <v>5</v>
      </c>
      <c r="D387" s="15">
        <v>2204</v>
      </c>
      <c r="E387" s="10" t="str">
        <f>VLOOKUP(D387,'[1]DATA BASE SANTRI'!$C$91:$E$513,2,FALSE)</f>
        <v>Rahmadina Dianarati Widyatih</v>
      </c>
      <c r="F387" s="11" t="str">
        <f>VLOOKUP(D387,'[1]DATA BASE SANTRI'!$C$91:$E$513,3,FALSE)</f>
        <v>4C</v>
      </c>
    </row>
    <row r="388" spans="1:6" ht="15.45" customHeight="1" x14ac:dyDescent="0.3">
      <c r="A388" s="38"/>
      <c r="B388" s="12">
        <v>11</v>
      </c>
      <c r="C388" s="12">
        <v>6</v>
      </c>
      <c r="D388" s="15">
        <v>2035</v>
      </c>
      <c r="E388" s="10" t="str">
        <f>VLOOKUP(D388,'[1]DATA BASE SANTRI'!$C$91:$E$513,2,FALSE)</f>
        <v>Achmad Fadhil</v>
      </c>
      <c r="F388" s="11" t="str">
        <f>VLOOKUP(D388,'[1]DATA BASE SANTRI'!$C$91:$E$513,3,FALSE)</f>
        <v>5A</v>
      </c>
    </row>
    <row r="389" spans="1:6" ht="15.45" customHeight="1" x14ac:dyDescent="0.3">
      <c r="A389" s="38"/>
      <c r="B389" s="12">
        <v>12</v>
      </c>
      <c r="C389" s="12">
        <v>7</v>
      </c>
      <c r="D389" s="15">
        <v>2081</v>
      </c>
      <c r="E389" s="10" t="str">
        <f>VLOOKUP(D389,'[1]DATA BASE SANTRI'!$C$91:$E$513,2,FALSE)</f>
        <v>Kiandra Rizky Perdana</v>
      </c>
      <c r="F389" s="11" t="str">
        <f>VLOOKUP(D389,'[1]DATA BASE SANTRI'!$C$91:$E$513,3,FALSE)</f>
        <v>5A</v>
      </c>
    </row>
    <row r="390" spans="1:6" ht="15.45" customHeight="1" x14ac:dyDescent="0.3">
      <c r="A390" s="38"/>
      <c r="B390" s="12">
        <v>13</v>
      </c>
      <c r="C390" s="12">
        <v>8</v>
      </c>
      <c r="D390" s="15">
        <v>2047</v>
      </c>
      <c r="E390" s="10" t="str">
        <f>VLOOKUP(D390,'[1]DATA BASE SANTRI'!$C$91:$E$513,2,FALSE)</f>
        <v>Akifa Naila</v>
      </c>
      <c r="F390" s="11" t="str">
        <f>VLOOKUP(D390,'[1]DATA BASE SANTRI'!$C$91:$E$513,3,FALSE)</f>
        <v>5B</v>
      </c>
    </row>
    <row r="391" spans="1:6" ht="15.45" customHeight="1" x14ac:dyDescent="0.3">
      <c r="A391" s="38"/>
      <c r="B391" s="12">
        <v>14</v>
      </c>
      <c r="C391" s="12">
        <v>9</v>
      </c>
      <c r="D391" s="15">
        <v>2075</v>
      </c>
      <c r="E391" s="10" t="str">
        <f>VLOOKUP(D391,'[1]DATA BASE SANTRI'!$C$91:$E$513,2,FALSE)</f>
        <v>Jauzaa Alula Qirani</v>
      </c>
      <c r="F391" s="11" t="str">
        <f>VLOOKUP(D391,'[1]DATA BASE SANTRI'!$C$91:$E$513,3,FALSE)</f>
        <v>5B</v>
      </c>
    </row>
    <row r="392" spans="1:6" ht="15.45" customHeight="1" x14ac:dyDescent="0.3">
      <c r="A392" s="38"/>
      <c r="B392" s="12">
        <v>15</v>
      </c>
      <c r="C392" s="12">
        <v>10</v>
      </c>
      <c r="D392" s="15">
        <v>2005</v>
      </c>
      <c r="E392" s="10" t="str">
        <f>VLOOKUP(D392,'[1]DATA BASE SANTRI'!$C$91:$E$513,2,FALSE)</f>
        <v>Maulana Fardhan Al-Kahfi Putra Kurniawan</v>
      </c>
      <c r="F392" s="11" t="str">
        <f>VLOOKUP(D392,'[1]DATA BASE SANTRI'!$C$91:$E$513,3,FALSE)</f>
        <v>6A</v>
      </c>
    </row>
    <row r="393" spans="1:6" ht="15.45" customHeight="1" x14ac:dyDescent="0.3">
      <c r="A393" s="38"/>
      <c r="B393" s="12">
        <v>16</v>
      </c>
      <c r="C393" s="12">
        <v>11</v>
      </c>
      <c r="D393" s="15">
        <v>1974</v>
      </c>
      <c r="E393" s="10" t="str">
        <f>VLOOKUP(D393,'[1]DATA BASE SANTRI'!$C$91:$E$513,2,FALSE)</f>
        <v>Aulia Kinasih Tunggadewi</v>
      </c>
      <c r="F393" s="11" t="str">
        <f>VLOOKUP(D393,'[1]DATA BASE SANTRI'!$C$91:$E$513,3,FALSE)</f>
        <v>6B</v>
      </c>
    </row>
    <row r="394" spans="1:6" ht="15.45" customHeight="1" x14ac:dyDescent="0.3">
      <c r="A394" s="38"/>
      <c r="B394" s="12">
        <v>17</v>
      </c>
      <c r="C394" s="12">
        <v>12</v>
      </c>
      <c r="D394" s="15">
        <v>1988</v>
      </c>
      <c r="E394" s="10" t="str">
        <f>VLOOKUP(D394,'[1]DATA BASE SANTRI'!$C$91:$E$513,2,FALSE)</f>
        <v>Elika Sarah Meyriska</v>
      </c>
      <c r="F394" s="11" t="str">
        <f>VLOOKUP(D394,'[1]DATA BASE SANTRI'!$C$91:$E$513,3,FALSE)</f>
        <v>6B</v>
      </c>
    </row>
    <row r="395" spans="1:6" ht="15.45" customHeight="1" x14ac:dyDescent="0.3">
      <c r="A395" s="38"/>
      <c r="B395" s="12">
        <v>18</v>
      </c>
      <c r="C395" s="12">
        <v>13</v>
      </c>
      <c r="D395" s="15">
        <v>2132</v>
      </c>
      <c r="E395" s="10" t="str">
        <f>VLOOKUP(D395,'[1]DATA BASE SANTRI'!$C$91:$E$513,2,FALSE)</f>
        <v xml:space="preserve">Zahra Rahmadhani </v>
      </c>
      <c r="F395" s="11" t="str">
        <f>VLOOKUP(D395,'[1]DATA BASE SANTRI'!$C$91:$E$513,3,FALSE)</f>
        <v>6B</v>
      </c>
    </row>
    <row r="396" spans="1:6" ht="15.45" customHeight="1" x14ac:dyDescent="0.3">
      <c r="A396" s="38"/>
      <c r="B396" s="12">
        <v>19</v>
      </c>
      <c r="C396" s="12">
        <v>14</v>
      </c>
      <c r="D396" s="15">
        <v>2026</v>
      </c>
      <c r="E396" s="10" t="str">
        <f>VLOOKUP(D396,'[1]DATA BASE SANTRI'!$C$91:$E$513,2,FALSE)</f>
        <v>Rr. Birrlian Kewes Mahesati</v>
      </c>
      <c r="F396" s="11" t="str">
        <f>VLOOKUP(D396,'[1]DATA BASE SANTRI'!$C$91:$E$513,3,FALSE)</f>
        <v>6B</v>
      </c>
    </row>
    <row r="397" spans="1:6" ht="15.45" customHeight="1" x14ac:dyDescent="0.3">
      <c r="A397" s="38"/>
      <c r="B397" s="12">
        <v>20</v>
      </c>
      <c r="C397" s="12">
        <v>15</v>
      </c>
      <c r="D397" s="15">
        <v>1975</v>
      </c>
      <c r="E397" s="10" t="str">
        <f>VLOOKUP(D397,'[1]DATA BASE SANTRI'!$C$91:$E$513,2,FALSE)</f>
        <v>Azzam Ghaisan Albar</v>
      </c>
      <c r="F397" s="11" t="str">
        <f>VLOOKUP(D397,'[1]DATA BASE SANTRI'!$C$91:$E$513,3,FALSE)</f>
        <v>6B</v>
      </c>
    </row>
    <row r="398" spans="1:6" ht="15.45" customHeight="1" x14ac:dyDescent="0.3">
      <c r="A398" s="38"/>
      <c r="B398" s="12">
        <v>21</v>
      </c>
      <c r="C398" s="12">
        <v>16</v>
      </c>
      <c r="D398" s="15">
        <v>1984</v>
      </c>
      <c r="E398" s="10" t="str">
        <f>VLOOKUP(D398,'[1]DATA BASE SANTRI'!$C$91:$E$513,2,FALSE)</f>
        <v>Dalisha Nirmala Sandi</v>
      </c>
      <c r="F398" s="11" t="str">
        <f>VLOOKUP(D398,'[1]DATA BASE SANTRI'!$C$91:$E$513,3,FALSE)</f>
        <v>6B</v>
      </c>
    </row>
    <row r="399" spans="1:6" ht="15.45" customHeight="1" x14ac:dyDescent="0.3">
      <c r="A399" s="38"/>
      <c r="B399" s="12">
        <v>22</v>
      </c>
      <c r="C399" s="12">
        <v>17</v>
      </c>
      <c r="D399" s="12">
        <v>2011</v>
      </c>
      <c r="E399" s="10" t="str">
        <f>VLOOKUP(D399,'[1]DATA BASE SANTRI'!$C$91:$E$513,2,FALSE)</f>
        <v>Muhammad Erza Dhyaulhaq Darminto</v>
      </c>
      <c r="F399" s="11" t="str">
        <f>VLOOKUP(D399,'[1]DATA BASE SANTRI'!$C$91:$E$513,3,FALSE)</f>
        <v>6B</v>
      </c>
    </row>
    <row r="400" spans="1:6" ht="15.45" customHeight="1" x14ac:dyDescent="0.3">
      <c r="A400" s="38"/>
      <c r="B400" s="12">
        <v>23</v>
      </c>
      <c r="C400" s="12">
        <v>18</v>
      </c>
      <c r="D400" s="15">
        <v>2004</v>
      </c>
      <c r="E400" s="10" t="str">
        <f>VLOOKUP(D400,'[1]DATA BASE SANTRI'!$C$91:$E$513,2,FALSE)</f>
        <v>Mahnoor Salmaa</v>
      </c>
      <c r="F400" s="11" t="str">
        <f>VLOOKUP(D400,'[1]DATA BASE SANTRI'!$C$91:$E$513,3,FALSE)</f>
        <v>6C</v>
      </c>
    </row>
    <row r="401" spans="1:6" ht="15.45" customHeight="1" x14ac:dyDescent="0.3">
      <c r="A401" s="38"/>
      <c r="B401" s="12">
        <v>24</v>
      </c>
      <c r="C401" s="12">
        <v>19</v>
      </c>
      <c r="D401" s="15">
        <v>2012</v>
      </c>
      <c r="E401" s="10" t="str">
        <f>VLOOKUP(D401,'[1]DATA BASE SANTRI'!$C$91:$E$513,2,FALSE)</f>
        <v>Muhammad Nur Rachman</v>
      </c>
      <c r="F401" s="11" t="str">
        <f>VLOOKUP(D401,'[1]DATA BASE SANTRI'!$C$91:$E$513,3,FALSE)</f>
        <v>6C</v>
      </c>
    </row>
    <row r="402" spans="1:6" ht="15.6" x14ac:dyDescent="0.3">
      <c r="A402" s="21" t="s">
        <v>14</v>
      </c>
      <c r="B402" s="12">
        <v>1</v>
      </c>
      <c r="C402" s="12">
        <v>1</v>
      </c>
      <c r="D402" s="15">
        <v>2241</v>
      </c>
      <c r="E402" s="10" t="str">
        <f>VLOOKUP(D402,'[1]DATA BASE SANTRI'!$C$91:$E$513,2,FALSE)</f>
        <v>Alin Malikatul Sittun Nisa Aprianto</v>
      </c>
      <c r="F402" s="11" t="str">
        <f>VLOOKUP(D402,'[1]DATA BASE SANTRI'!$C$91:$E$513,3,FALSE)</f>
        <v>3A</v>
      </c>
    </row>
    <row r="403" spans="1:6" ht="15.6" x14ac:dyDescent="0.3">
      <c r="A403" s="21"/>
      <c r="B403" s="12">
        <v>2</v>
      </c>
      <c r="C403" s="12">
        <v>2</v>
      </c>
      <c r="D403" s="15">
        <v>2234</v>
      </c>
      <c r="E403" s="10" t="str">
        <f>VLOOKUP(D403,'[1]DATA BASE SANTRI'!$C$91:$E$513,2,FALSE)</f>
        <v>Afif Ahwal Saidirrohman</v>
      </c>
      <c r="F403" s="11" t="str">
        <f>VLOOKUP(D403,'[1]DATA BASE SANTRI'!$C$91:$E$513,3,FALSE)</f>
        <v>3A</v>
      </c>
    </row>
    <row r="404" spans="1:6" ht="15.6" x14ac:dyDescent="0.3">
      <c r="A404" s="21"/>
      <c r="B404" s="12">
        <v>3</v>
      </c>
      <c r="C404" s="12">
        <v>3</v>
      </c>
      <c r="D404" s="15">
        <v>2300</v>
      </c>
      <c r="E404" s="10" t="str">
        <f>VLOOKUP(D404,'[1]DATA BASE SANTRI'!$C$91:$E$513,2,FALSE)</f>
        <v>Nayla Aurellia Aznii</v>
      </c>
      <c r="F404" s="11" t="str">
        <f>VLOOKUP(D404,'[1]DATA BASE SANTRI'!$C$91:$E$513,3,FALSE)</f>
        <v>3C</v>
      </c>
    </row>
    <row r="405" spans="1:6" ht="15.6" x14ac:dyDescent="0.3">
      <c r="A405" s="21"/>
      <c r="B405" s="12">
        <v>4</v>
      </c>
      <c r="C405" s="12">
        <v>4</v>
      </c>
      <c r="D405" s="15">
        <v>2213</v>
      </c>
      <c r="E405" s="10" t="str">
        <f>VLOOKUP(D405,'[1]DATA BASE SANTRI'!$C$91:$E$513,2,FALSE)</f>
        <v>Safiyah Salsabila Zaskiaqilah Aristyawan</v>
      </c>
      <c r="F405" s="11" t="str">
        <f>VLOOKUP(D405,'[1]DATA BASE SANTRI'!$C$91:$E$513,3,FALSE)</f>
        <v>4A</v>
      </c>
    </row>
    <row r="406" spans="1:6" ht="15.6" x14ac:dyDescent="0.3">
      <c r="A406" s="21"/>
      <c r="B406" s="12">
        <v>5</v>
      </c>
      <c r="C406" s="12">
        <v>5</v>
      </c>
      <c r="D406" s="15">
        <v>2136</v>
      </c>
      <c r="E406" s="10" t="str">
        <f>VLOOKUP(D406,'[1]DATA BASE SANTRI'!$C$91:$E$513,2,FALSE)</f>
        <v>Achmad Arshaka Pradipta</v>
      </c>
      <c r="F406" s="11" t="str">
        <f>VLOOKUP(D406,'[1]DATA BASE SANTRI'!$C$91:$E$513,3,FALSE)</f>
        <v>4B</v>
      </c>
    </row>
    <row r="407" spans="1:6" ht="18" customHeight="1" x14ac:dyDescent="0.3">
      <c r="A407" s="21"/>
      <c r="B407" s="12">
        <v>6</v>
      </c>
      <c r="C407" s="12">
        <v>6</v>
      </c>
      <c r="D407" s="15">
        <v>2167</v>
      </c>
      <c r="E407" s="10" t="str">
        <f>VLOOKUP(D407,'[1]DATA BASE SANTRI'!$C$91:$E$513,2,FALSE)</f>
        <v>Faleisha Shezan Kinanti</v>
      </c>
      <c r="F407" s="11" t="str">
        <f>VLOOKUP(D407,'[1]DATA BASE SANTRI'!$C$91:$E$513,3,FALSE)</f>
        <v>4C</v>
      </c>
    </row>
    <row r="408" spans="1:6" ht="18" customHeight="1" x14ac:dyDescent="0.3">
      <c r="A408" s="21"/>
      <c r="B408" s="12">
        <v>7</v>
      </c>
      <c r="C408" s="12">
        <v>7</v>
      </c>
      <c r="D408" s="15">
        <v>2098</v>
      </c>
      <c r="E408" s="10" t="str">
        <f>VLOOKUP(D408,'[1]DATA BASE SANTRI'!$C$91:$E$513,2,FALSE)</f>
        <v>Muhammad Fattan AlFarizqi</v>
      </c>
      <c r="F408" s="11" t="str">
        <f>VLOOKUP(D408,'[1]DATA BASE SANTRI'!$C$91:$E$513,3,FALSE)</f>
        <v>5A</v>
      </c>
    </row>
    <row r="409" spans="1:6" ht="18" customHeight="1" x14ac:dyDescent="0.3">
      <c r="A409" s="21"/>
      <c r="B409" s="12">
        <v>8</v>
      </c>
      <c r="C409" s="12">
        <v>8</v>
      </c>
      <c r="D409" s="15">
        <v>2040</v>
      </c>
      <c r="E409" s="10" t="str">
        <f>VLOOKUP(D409,'[1]DATA BASE SANTRI'!$C$91:$E$513,2,FALSE)</f>
        <v>Ahmad Alkhalifi Zikri Hamizan</v>
      </c>
      <c r="F409" s="11" t="str">
        <f>VLOOKUP(D409,'[1]DATA BASE SANTRI'!$C$91:$E$513,3,FALSE)</f>
        <v>5A</v>
      </c>
    </row>
    <row r="410" spans="1:6" ht="18" customHeight="1" x14ac:dyDescent="0.3">
      <c r="A410" s="21"/>
      <c r="B410" s="12">
        <v>9</v>
      </c>
      <c r="C410" s="12">
        <v>9</v>
      </c>
      <c r="D410" s="15">
        <v>2105</v>
      </c>
      <c r="E410" s="10" t="str">
        <f>VLOOKUP(D410,'[1]DATA BASE SANTRI'!$C$91:$E$513,2,FALSE)</f>
        <v>Prestasia Doctorrizq Herlambang</v>
      </c>
      <c r="F410" s="11" t="str">
        <f>VLOOKUP(D410,'[1]DATA BASE SANTRI'!$C$91:$E$513,3,FALSE)</f>
        <v>5A</v>
      </c>
    </row>
    <row r="411" spans="1:6" ht="18" customHeight="1" x14ac:dyDescent="0.3">
      <c r="A411" s="21"/>
      <c r="B411" s="12">
        <v>10</v>
      </c>
      <c r="C411" s="12">
        <v>10</v>
      </c>
      <c r="D411" s="15">
        <v>2114</v>
      </c>
      <c r="E411" s="10" t="str">
        <f>VLOOKUP(D411,'[1]DATA BASE SANTRI'!$C$91:$E$513,2,FALSE)</f>
        <v>Shila Zayyan Putri Subagio</v>
      </c>
      <c r="F411" s="11" t="str">
        <f>VLOOKUP(D411,'[1]DATA BASE SANTRI'!$C$91:$E$513,3,FALSE)</f>
        <v>5A</v>
      </c>
    </row>
    <row r="412" spans="1:6" ht="18" customHeight="1" x14ac:dyDescent="0.3">
      <c r="A412" s="21"/>
      <c r="B412" s="12">
        <v>11</v>
      </c>
      <c r="C412" s="12">
        <v>11</v>
      </c>
      <c r="D412" s="15">
        <v>2048</v>
      </c>
      <c r="E412" s="10" t="str">
        <f>VLOOKUP(D412,'[1]DATA BASE SANTRI'!$C$91:$E$513,2,FALSE)</f>
        <v>Alesha Zahra</v>
      </c>
      <c r="F412" s="11" t="str">
        <f>VLOOKUP(D412,'[1]DATA BASE SANTRI'!$C$91:$E$513,3,FALSE)</f>
        <v>5B</v>
      </c>
    </row>
    <row r="413" spans="1:6" ht="18" customHeight="1" x14ac:dyDescent="0.3">
      <c r="A413" s="21"/>
      <c r="B413" s="12">
        <v>12</v>
      </c>
      <c r="C413" s="12">
        <v>12</v>
      </c>
      <c r="D413" s="15">
        <v>2053</v>
      </c>
      <c r="E413" s="10" t="str">
        <f>VLOOKUP(D413,'[1]DATA BASE SANTRI'!$C$91:$E$513,2,FALSE)</f>
        <v>Alya Shakila Ramadhani</v>
      </c>
      <c r="F413" s="11" t="str">
        <f>VLOOKUP(D413,'[1]DATA BASE SANTRI'!$C$91:$E$513,3,FALSE)</f>
        <v>5C</v>
      </c>
    </row>
    <row r="414" spans="1:6" ht="18" customHeight="1" x14ac:dyDescent="0.3">
      <c r="A414" s="21"/>
      <c r="B414" s="12">
        <v>13</v>
      </c>
      <c r="C414" s="12">
        <v>13</v>
      </c>
      <c r="D414" s="15">
        <v>2059</v>
      </c>
      <c r="E414" s="10" t="str">
        <f>VLOOKUP(D414,'[1]DATA BASE SANTRI'!$C$91:$E$513,2,FALSE)</f>
        <v>Azka Danendra Akbar</v>
      </c>
      <c r="F414" s="11" t="str">
        <f>VLOOKUP(D414,'[1]DATA BASE SANTRI'!$C$91:$E$513,3,FALSE)</f>
        <v>5C</v>
      </c>
    </row>
    <row r="415" spans="1:6" ht="18" customHeight="1" x14ac:dyDescent="0.3">
      <c r="A415" s="21"/>
      <c r="B415" s="12">
        <v>14</v>
      </c>
      <c r="C415" s="12">
        <v>14</v>
      </c>
      <c r="D415" s="15">
        <v>2009</v>
      </c>
      <c r="E415" s="10" t="str">
        <f>VLOOKUP(D415,'[1]DATA BASE SANTRI'!$C$91:$E$513,2,FALSE)</f>
        <v>Muhammad Alfan Falah</v>
      </c>
      <c r="F415" s="11" t="str">
        <f>VLOOKUP(D415,'[1]DATA BASE SANTRI'!$C$91:$E$513,3,FALSE)</f>
        <v>6A</v>
      </c>
    </row>
    <row r="416" spans="1:6" ht="18" customHeight="1" x14ac:dyDescent="0.3">
      <c r="A416" s="21"/>
      <c r="B416" s="12">
        <v>15</v>
      </c>
      <c r="C416" s="12">
        <v>15</v>
      </c>
      <c r="D416" s="12">
        <v>2015</v>
      </c>
      <c r="E416" s="10" t="str">
        <f>VLOOKUP(D416,'[1]DATA BASE SANTRI'!$C$91:$E$513,2,FALSE)</f>
        <v>Nabilah Wahyu Safrudin</v>
      </c>
      <c r="F416" s="11" t="str">
        <f>VLOOKUP(D416,'[1]DATA BASE SANTRI'!$C$91:$E$513,3,FALSE)</f>
        <v>6B</v>
      </c>
    </row>
    <row r="417" spans="1:6" ht="18" customHeight="1" x14ac:dyDescent="0.3">
      <c r="A417" s="21"/>
      <c r="B417" s="12">
        <v>16</v>
      </c>
      <c r="C417" s="12">
        <v>16</v>
      </c>
      <c r="D417" s="15">
        <v>1971</v>
      </c>
      <c r="E417" s="10" t="str">
        <f>VLOOKUP(D417,'[1]DATA BASE SANTRI'!$C$91:$E$513,2,FALSE)</f>
        <v>Aruna Nur Bima Prawira</v>
      </c>
      <c r="F417" s="11" t="str">
        <f>VLOOKUP(D417,'[1]DATA BASE SANTRI'!$C$91:$E$513,3,FALSE)</f>
        <v>6B</v>
      </c>
    </row>
    <row r="418" spans="1:6" ht="18" customHeight="1" x14ac:dyDescent="0.3">
      <c r="A418" s="21"/>
      <c r="B418" s="12">
        <v>17</v>
      </c>
      <c r="C418" s="12">
        <v>17</v>
      </c>
      <c r="D418" s="15">
        <v>2016</v>
      </c>
      <c r="E418" s="10" t="str">
        <f>VLOOKUP(D418,'[1]DATA BASE SANTRI'!$C$91:$E$513,2,FALSE)</f>
        <v>Nadiya Putri Arrachmah</v>
      </c>
      <c r="F418" s="11" t="str">
        <f>VLOOKUP(D418,'[1]DATA BASE SANTRI'!$C$91:$E$513,3,FALSE)</f>
        <v>6C</v>
      </c>
    </row>
    <row r="419" spans="1:6" ht="18" customHeight="1" x14ac:dyDescent="0.3">
      <c r="A419" s="21"/>
      <c r="B419" s="12">
        <v>18</v>
      </c>
      <c r="C419" s="12">
        <v>1</v>
      </c>
      <c r="D419" s="15">
        <v>2280</v>
      </c>
      <c r="E419" s="10" t="str">
        <f>VLOOKUP(D419,'[1]DATA BASE SANTRI'!$C$91:$E$513,2,FALSE)</f>
        <v>Keillona Gusta Azkadina</v>
      </c>
      <c r="F419" s="11" t="str">
        <f>VLOOKUP(D419,'[1]DATA BASE SANTRI'!$C$91:$E$513,3,FALSE)</f>
        <v>3C</v>
      </c>
    </row>
    <row r="420" spans="1:6" ht="18" customHeight="1" x14ac:dyDescent="0.3">
      <c r="A420" s="21"/>
      <c r="B420" s="12">
        <v>19</v>
      </c>
      <c r="C420" s="12">
        <v>2</v>
      </c>
      <c r="D420" s="13">
        <v>2281</v>
      </c>
      <c r="E420" s="10" t="str">
        <f>VLOOKUP(D420,'[1]DATA BASE SANTRI'!$C$91:$E$513,2,FALSE)</f>
        <v>Kenzie Akil Yonisa Putra</v>
      </c>
      <c r="F420" s="11" t="str">
        <f>VLOOKUP(D420,'[1]DATA BASE SANTRI'!$C$91:$E$513,3,FALSE)</f>
        <v>3C</v>
      </c>
    </row>
    <row r="421" spans="1:6" ht="18" customHeight="1" x14ac:dyDescent="0.3">
      <c r="A421" s="21"/>
      <c r="B421" s="12">
        <v>20</v>
      </c>
      <c r="C421" s="12">
        <v>3</v>
      </c>
      <c r="D421" s="15">
        <v>2174</v>
      </c>
      <c r="E421" s="10" t="str">
        <f>VLOOKUP(D421,'[1]DATA BASE SANTRI'!$C$91:$E$513,2,FALSE)</f>
        <v>Iftina Azzakia Rohman</v>
      </c>
      <c r="F421" s="11" t="str">
        <f>VLOOKUP(D421,'[1]DATA BASE SANTRI'!$C$91:$E$513,3,FALSE)</f>
        <v>4A</v>
      </c>
    </row>
    <row r="422" spans="1:6" ht="18" customHeight="1" x14ac:dyDescent="0.3">
      <c r="A422" s="21"/>
      <c r="B422" s="12">
        <v>21</v>
      </c>
      <c r="C422" s="12">
        <v>4</v>
      </c>
      <c r="D422" s="15">
        <v>2189</v>
      </c>
      <c r="E422" s="10" t="str">
        <f>VLOOKUP(D422,'[1]DATA BASE SANTRI'!$C$91:$E$513,2,FALSE)</f>
        <v>Muhammad Davano</v>
      </c>
      <c r="F422" s="11" t="str">
        <f>VLOOKUP(D422,'[1]DATA BASE SANTRI'!$C$91:$E$513,3,FALSE)</f>
        <v>4B</v>
      </c>
    </row>
    <row r="423" spans="1:6" ht="18" customHeight="1" x14ac:dyDescent="0.3">
      <c r="A423" s="21"/>
      <c r="B423" s="12">
        <v>22</v>
      </c>
      <c r="C423" s="12">
        <v>5</v>
      </c>
      <c r="D423" s="12">
        <v>2169</v>
      </c>
      <c r="E423" s="10" t="str">
        <f>VLOOKUP(D423,'[1]DATA BASE SANTRI'!$C$91:$E$513,2,FALSE)</f>
        <v>Fathara Nur Al Farizi</v>
      </c>
      <c r="F423" s="11" t="str">
        <f>VLOOKUP(D423,'[1]DATA BASE SANTRI'!$C$91:$E$513,3,FALSE)</f>
        <v>4C</v>
      </c>
    </row>
    <row r="424" spans="1:6" ht="18" customHeight="1" x14ac:dyDescent="0.3">
      <c r="A424" s="21"/>
      <c r="B424" s="12">
        <v>23</v>
      </c>
      <c r="C424" s="12">
        <v>6</v>
      </c>
      <c r="D424" s="15">
        <v>2170</v>
      </c>
      <c r="E424" s="10" t="str">
        <f>VLOOKUP(D424,'[1]DATA BASE SANTRI'!$C$91:$E$513,2,FALSE)</f>
        <v>Hegira Jyotika Ihsani</v>
      </c>
      <c r="F424" s="11" t="str">
        <f>VLOOKUP(D424,'[1]DATA BASE SANTRI'!$C$91:$E$513,3,FALSE)</f>
        <v>4C</v>
      </c>
    </row>
    <row r="425" spans="1:6" ht="18" customHeight="1" x14ac:dyDescent="0.3">
      <c r="A425" s="21"/>
      <c r="B425" s="12">
        <v>24</v>
      </c>
      <c r="C425" s="12">
        <v>7</v>
      </c>
      <c r="D425" s="15">
        <v>2219</v>
      </c>
      <c r="E425" s="10" t="str">
        <f>VLOOKUP(D425,'[1]DATA BASE SANTRI'!$C$91:$E$513,2,FALSE)</f>
        <v>Shaqilla Mikhayla Rasya</v>
      </c>
      <c r="F425" s="11" t="str">
        <f>VLOOKUP(D425,'[1]DATA BASE SANTRI'!$C$91:$E$513,3,FALSE)</f>
        <v>4C</v>
      </c>
    </row>
    <row r="426" spans="1:6" ht="18" customHeight="1" x14ac:dyDescent="0.3">
      <c r="A426" s="21"/>
      <c r="B426" s="12">
        <v>25</v>
      </c>
      <c r="C426" s="12">
        <v>8</v>
      </c>
      <c r="D426" s="15">
        <v>2061</v>
      </c>
      <c r="E426" s="10" t="str">
        <f>VLOOKUP(D426,'[1]DATA BASE SANTRI'!$C$91:$E$513,2,FALSE)</f>
        <v>Cakra Samudera Kaharudin</v>
      </c>
      <c r="F426" s="11" t="str">
        <f>VLOOKUP(D426,'[1]DATA BASE SANTRI'!$C$91:$E$513,3,FALSE)</f>
        <v>5B</v>
      </c>
    </row>
    <row r="427" spans="1:6" ht="18" customHeight="1" x14ac:dyDescent="0.3">
      <c r="A427" s="21"/>
      <c r="B427" s="12">
        <v>26</v>
      </c>
      <c r="C427" s="12">
        <v>9</v>
      </c>
      <c r="D427" s="15">
        <v>2099</v>
      </c>
      <c r="E427" s="10" t="str">
        <f>VLOOKUP(D427,'[1]DATA BASE SANTRI'!$C$91:$E$513,2,FALSE)</f>
        <v>Muhammad Fauzi Syah Putra Ilafi</v>
      </c>
      <c r="F427" s="11" t="str">
        <f>VLOOKUP(D427,'[1]DATA BASE SANTRI'!$C$91:$E$513,3,FALSE)</f>
        <v>5B</v>
      </c>
    </row>
    <row r="428" spans="1:6" ht="18" customHeight="1" x14ac:dyDescent="0.3">
      <c r="A428" s="21"/>
      <c r="B428" s="12">
        <v>27</v>
      </c>
      <c r="C428" s="12">
        <v>10</v>
      </c>
      <c r="D428" s="15">
        <v>2103</v>
      </c>
      <c r="E428" s="10" t="str">
        <f>VLOOKUP(D428,'[1]DATA BASE SANTRI'!$C$91:$E$513,2,FALSE)</f>
        <v>Narendra Gusti Whira Manggala</v>
      </c>
      <c r="F428" s="11" t="str">
        <f>VLOOKUP(D428,'[1]DATA BASE SANTRI'!$C$91:$E$513,3,FALSE)</f>
        <v>5C</v>
      </c>
    </row>
    <row r="429" spans="1:6" ht="18" customHeight="1" x14ac:dyDescent="0.3">
      <c r="A429" s="21"/>
      <c r="B429" s="12">
        <v>28</v>
      </c>
      <c r="C429" s="12">
        <v>11</v>
      </c>
      <c r="D429" s="15">
        <v>2120</v>
      </c>
      <c r="E429" s="10" t="str">
        <f>VLOOKUP(D429,'[1]DATA BASE SANTRI'!$C$91:$E$513,2,FALSE)</f>
        <v>Tsabita Quinna Lam Aruna</v>
      </c>
      <c r="F429" s="11" t="str">
        <f>VLOOKUP(D429,'[1]DATA BASE SANTRI'!$C$91:$E$513,3,FALSE)</f>
        <v>5C</v>
      </c>
    </row>
    <row r="430" spans="1:6" ht="18" customHeight="1" x14ac:dyDescent="0.3">
      <c r="A430" s="21"/>
      <c r="B430" s="12">
        <v>29</v>
      </c>
      <c r="C430" s="12">
        <v>12</v>
      </c>
      <c r="D430" s="15">
        <v>2078</v>
      </c>
      <c r="E430" s="10" t="str">
        <f>VLOOKUP(D430,'[1]DATA BASE SANTRI'!$C$91:$E$513,2,FALSE)</f>
        <v>Khalifano Ammar Mahsit</v>
      </c>
      <c r="F430" s="11" t="str">
        <f>VLOOKUP(D430,'[1]DATA BASE SANTRI'!$C$91:$E$513,3,FALSE)</f>
        <v>5C</v>
      </c>
    </row>
    <row r="431" spans="1:6" ht="18" customHeight="1" x14ac:dyDescent="0.3">
      <c r="A431" s="21"/>
      <c r="B431" s="12">
        <v>30</v>
      </c>
      <c r="C431" s="12">
        <v>13</v>
      </c>
      <c r="D431" s="15">
        <v>1996</v>
      </c>
      <c r="E431" s="10" t="str">
        <f>VLOOKUP(D431,'[1]DATA BASE SANTRI'!$C$91:$E$513,2,FALSE)</f>
        <v>Inayarafa Lutfhiyah Billah</v>
      </c>
      <c r="F431" s="11" t="str">
        <f>VLOOKUP(D431,'[1]DATA BASE SANTRI'!$C$91:$E$513,3,FALSE)</f>
        <v>6A</v>
      </c>
    </row>
    <row r="432" spans="1:6" ht="18" customHeight="1" x14ac:dyDescent="0.3">
      <c r="A432" s="21"/>
      <c r="B432" s="12">
        <v>31</v>
      </c>
      <c r="C432" s="12">
        <v>14</v>
      </c>
      <c r="D432" s="15">
        <v>1986</v>
      </c>
      <c r="E432" s="10" t="str">
        <f>VLOOKUP(D432,'[1]DATA BASE SANTRI'!$C$91:$E$513,2,FALSE)</f>
        <v>Danendra Reyhan Cahya Satria</v>
      </c>
      <c r="F432" s="11" t="str">
        <f>VLOOKUP(D432,'[1]DATA BASE SANTRI'!$C$91:$E$513,3,FALSE)</f>
        <v>6A</v>
      </c>
    </row>
    <row r="433" spans="1:6" ht="18" customHeight="1" x14ac:dyDescent="0.3">
      <c r="A433" s="21"/>
      <c r="B433" s="12">
        <v>32</v>
      </c>
      <c r="C433" s="12">
        <v>15</v>
      </c>
      <c r="D433" s="12">
        <v>2124</v>
      </c>
      <c r="E433" s="10" t="str">
        <f>VLOOKUP(D433,'[1]DATA BASE SANTRI'!$C$91:$E$513,2,FALSE)</f>
        <v xml:space="preserve">Moh. Haqul Ulum </v>
      </c>
      <c r="F433" s="11" t="str">
        <f>VLOOKUP(D433,'[1]DATA BASE SANTRI'!$C$91:$E$513,3,FALSE)</f>
        <v>6A</v>
      </c>
    </row>
    <row r="434" spans="1:6" ht="18" customHeight="1" x14ac:dyDescent="0.3">
      <c r="A434" s="21"/>
      <c r="B434" s="12">
        <v>33</v>
      </c>
      <c r="C434" s="12">
        <v>16</v>
      </c>
      <c r="D434" s="15">
        <v>2017</v>
      </c>
      <c r="E434" s="10" t="str">
        <f>VLOOKUP(D434,'[1]DATA BASE SANTRI'!$C$91:$E$513,2,FALSE)</f>
        <v>Nadya Azzahra Adzka Irawan</v>
      </c>
      <c r="F434" s="11" t="str">
        <f>VLOOKUP(D434,'[1]DATA BASE SANTRI'!$C$91:$E$513,3,FALSE)</f>
        <v>6A</v>
      </c>
    </row>
    <row r="435" spans="1:6" ht="18" customHeight="1" x14ac:dyDescent="0.3">
      <c r="A435" s="22"/>
      <c r="B435" s="12">
        <v>34</v>
      </c>
      <c r="C435" s="12">
        <v>17</v>
      </c>
      <c r="D435" s="15">
        <v>1969</v>
      </c>
      <c r="E435" s="10" t="str">
        <f>VLOOKUP(D435,'[1]DATA BASE SANTRI'!$C$91:$E$513,2,FALSE)</f>
        <v>Alifia Caroline Wibowo</v>
      </c>
      <c r="F435" s="11" t="str">
        <f>VLOOKUP(D435,'[1]DATA BASE SANTRI'!$C$91:$E$513,3,FALSE)</f>
        <v>6B</v>
      </c>
    </row>
    <row r="436" spans="1:6" ht="18" customHeight="1" x14ac:dyDescent="0.3">
      <c r="A436" s="23" t="s">
        <v>15</v>
      </c>
      <c r="B436" s="12">
        <v>1</v>
      </c>
      <c r="C436" s="12">
        <v>1</v>
      </c>
      <c r="D436" s="15">
        <v>2137</v>
      </c>
      <c r="E436" s="10" t="str">
        <f>VLOOKUP(D436,'[1]DATA BASE SANTRI'!$C$91:$E$513,2,FALSE)</f>
        <v>Adreena Naira Tanjung</v>
      </c>
      <c r="F436" s="11" t="str">
        <f>VLOOKUP(D436,'[1]DATA BASE SANTRI'!$C$91:$E$513,3,FALSE)</f>
        <v>4A</v>
      </c>
    </row>
    <row r="437" spans="1:6" ht="15.6" x14ac:dyDescent="0.3">
      <c r="A437" s="23"/>
      <c r="B437" s="12">
        <v>2</v>
      </c>
      <c r="C437" s="12">
        <v>2</v>
      </c>
      <c r="D437" s="12">
        <v>2176</v>
      </c>
      <c r="E437" s="10" t="str">
        <f>VLOOKUP(D437,'[1]DATA BASE SANTRI'!$C$91:$E$513,2,FALSE)</f>
        <v>Kanaya Citra Putri Alesha</v>
      </c>
      <c r="F437" s="11" t="str">
        <f>VLOOKUP(D437,'[1]DATA BASE SANTRI'!$C$91:$E$513,3,FALSE)</f>
        <v>4A</v>
      </c>
    </row>
    <row r="438" spans="1:6" ht="15.6" x14ac:dyDescent="0.3">
      <c r="A438" s="23"/>
      <c r="B438" s="12">
        <v>3</v>
      </c>
      <c r="C438" s="12">
        <v>3</v>
      </c>
      <c r="D438" s="15">
        <v>2112</v>
      </c>
      <c r="E438" s="10" t="str">
        <f>VLOOKUP(D438,'[1]DATA BASE SANTRI'!$C$91:$E$513,2,FALSE)</f>
        <v>Sabrina Saahira Sasikirana</v>
      </c>
      <c r="F438" s="11" t="str">
        <f>VLOOKUP(D438,'[1]DATA BASE SANTRI'!$C$91:$E$513,3,FALSE)</f>
        <v>5A</v>
      </c>
    </row>
    <row r="439" spans="1:6" ht="15.6" x14ac:dyDescent="0.3">
      <c r="A439" s="23"/>
      <c r="B439" s="12">
        <v>4</v>
      </c>
      <c r="C439" s="12">
        <v>4</v>
      </c>
      <c r="D439" s="12">
        <v>2083</v>
      </c>
      <c r="E439" s="10" t="str">
        <f>VLOOKUP(D439,'[1]DATA BASE SANTRI'!$C$91:$E$513,2,FALSE)</f>
        <v>Kiano Zaidan Ariawan</v>
      </c>
      <c r="F439" s="11" t="str">
        <f>VLOOKUP(D439,'[1]DATA BASE SANTRI'!$C$91:$E$513,3,FALSE)</f>
        <v>5A</v>
      </c>
    </row>
    <row r="440" spans="1:6" ht="15.6" x14ac:dyDescent="0.3">
      <c r="A440" s="23"/>
      <c r="B440" s="12">
        <v>5</v>
      </c>
      <c r="C440" s="12">
        <v>5</v>
      </c>
      <c r="D440" s="15">
        <v>2090</v>
      </c>
      <c r="E440" s="10" t="str">
        <f>VLOOKUP(D440,'[1]DATA BASE SANTRI'!$C$91:$E$513,2,FALSE)</f>
        <v>Muhammad Alby Abrisam Alfakhri</v>
      </c>
      <c r="F440" s="11" t="str">
        <f>VLOOKUP(D440,'[1]DATA BASE SANTRI'!$C$91:$E$513,3,FALSE)</f>
        <v>5A</v>
      </c>
    </row>
    <row r="441" spans="1:6" ht="15.6" x14ac:dyDescent="0.3">
      <c r="A441" s="23"/>
      <c r="B441" s="12">
        <v>6</v>
      </c>
      <c r="C441" s="12">
        <v>6</v>
      </c>
      <c r="D441" s="15">
        <v>2068</v>
      </c>
      <c r="E441" s="10" t="str">
        <f>VLOOKUP(D441,'[1]DATA BASE SANTRI'!$C$91:$E$513,2,FALSE)</f>
        <v>Eka Nurdhiananta</v>
      </c>
      <c r="F441" s="11" t="str">
        <f>VLOOKUP(D441,'[1]DATA BASE SANTRI'!$C$91:$E$513,3,FALSE)</f>
        <v>5A</v>
      </c>
    </row>
    <row r="442" spans="1:6" ht="15.6" x14ac:dyDescent="0.3">
      <c r="A442" s="23"/>
      <c r="B442" s="12">
        <v>7</v>
      </c>
      <c r="C442" s="12">
        <v>7</v>
      </c>
      <c r="D442" s="15">
        <v>2073</v>
      </c>
      <c r="E442" s="10" t="str">
        <f>VLOOKUP(D442,'[1]DATA BASE SANTRI'!$C$91:$E$513,2,FALSE)</f>
        <v>Fayra Azzahidah Rofiqi</v>
      </c>
      <c r="F442" s="11" t="str">
        <f>VLOOKUP(D442,'[1]DATA BASE SANTRI'!$C$91:$E$513,3,FALSE)</f>
        <v>5A</v>
      </c>
    </row>
    <row r="443" spans="1:6" ht="15.6" x14ac:dyDescent="0.3">
      <c r="A443" s="23"/>
      <c r="B443" s="12">
        <v>8</v>
      </c>
      <c r="C443" s="12">
        <v>8</v>
      </c>
      <c r="D443" s="15">
        <v>2123</v>
      </c>
      <c r="E443" s="10" t="str">
        <f>VLOOKUP(D443,'[1]DATA BASE SANTRI'!$C$91:$E$513,2,FALSE)</f>
        <v>Zievanya Irsyada Hartawan</v>
      </c>
      <c r="F443" s="11" t="str">
        <f>VLOOKUP(D443,'[1]DATA BASE SANTRI'!$C$91:$E$513,3,FALSE)</f>
        <v>5B</v>
      </c>
    </row>
    <row r="444" spans="1:6" ht="15.6" x14ac:dyDescent="0.3">
      <c r="A444" s="23"/>
      <c r="B444" s="12">
        <v>9</v>
      </c>
      <c r="C444" s="12">
        <v>9</v>
      </c>
      <c r="D444" s="15">
        <v>2108</v>
      </c>
      <c r="E444" s="10" t="str">
        <f>VLOOKUP(D444,'[1]DATA BASE SANTRI'!$C$91:$E$513,2,FALSE)</f>
        <v>Revalina Aulia Rasyafa</v>
      </c>
      <c r="F444" s="11" t="str">
        <f>VLOOKUP(D444,'[1]DATA BASE SANTRI'!$C$91:$E$513,3,FALSE)</f>
        <v>5B</v>
      </c>
    </row>
    <row r="445" spans="1:6" ht="15.6" x14ac:dyDescent="0.3">
      <c r="A445" s="23"/>
      <c r="B445" s="12">
        <v>10</v>
      </c>
      <c r="C445" s="12">
        <v>10</v>
      </c>
      <c r="D445" s="15">
        <v>2051</v>
      </c>
      <c r="E445" s="10" t="str">
        <f>VLOOKUP(D445,'[1]DATA BASE SANTRI'!$C$91:$E$513,2,FALSE)</f>
        <v>Allula Lasira Widiya</v>
      </c>
      <c r="F445" s="11" t="str">
        <f>VLOOKUP(D445,'[1]DATA BASE SANTRI'!$C$91:$E$513,3,FALSE)</f>
        <v>5B</v>
      </c>
    </row>
    <row r="446" spans="1:6" ht="15.6" x14ac:dyDescent="0.3">
      <c r="A446" s="23"/>
      <c r="B446" s="12">
        <v>11</v>
      </c>
      <c r="C446" s="12">
        <v>11</v>
      </c>
      <c r="D446" s="15">
        <v>2097</v>
      </c>
      <c r="E446" s="10" t="str">
        <f>VLOOKUP(D446,'[1]DATA BASE SANTRI'!$C$91:$E$513,2,FALSE)</f>
        <v>Muhammad Fatih Mahardika</v>
      </c>
      <c r="F446" s="11" t="str">
        <f>VLOOKUP(D446,'[1]DATA BASE SANTRI'!$C$91:$E$513,3,FALSE)</f>
        <v>5B</v>
      </c>
    </row>
    <row r="447" spans="1:6" ht="15.6" x14ac:dyDescent="0.3">
      <c r="A447" s="23"/>
      <c r="B447" s="12">
        <v>12</v>
      </c>
      <c r="C447" s="12">
        <v>12</v>
      </c>
      <c r="D447" s="15">
        <v>2115</v>
      </c>
      <c r="E447" s="10" t="str">
        <f>VLOOKUP(D447,'[1]DATA BASE SANTRI'!$C$91:$E$513,2,FALSE)</f>
        <v>Shofiyya Kusnawati Rizqina Tiara</v>
      </c>
      <c r="F447" s="11" t="str">
        <f>VLOOKUP(D447,'[1]DATA BASE SANTRI'!$C$91:$E$513,3,FALSE)</f>
        <v>5B</v>
      </c>
    </row>
    <row r="448" spans="1:6" ht="15.6" x14ac:dyDescent="0.3">
      <c r="A448" s="23"/>
      <c r="B448" s="12">
        <v>13</v>
      </c>
      <c r="C448" s="12">
        <v>13</v>
      </c>
      <c r="D448" s="15">
        <v>2066</v>
      </c>
      <c r="E448" s="10" t="str">
        <f>VLOOKUP(D448,'[1]DATA BASE SANTRI'!$C$91:$E$513,2,FALSE)</f>
        <v>Darrel Tristan Meshach Augy</v>
      </c>
      <c r="F448" s="11" t="str">
        <f>VLOOKUP(D448,'[1]DATA BASE SANTRI'!$C$91:$E$513,3,FALSE)</f>
        <v>5C</v>
      </c>
    </row>
    <row r="449" spans="1:6" ht="15.6" x14ac:dyDescent="0.3">
      <c r="A449" s="23"/>
      <c r="B449" s="12">
        <v>14</v>
      </c>
      <c r="C449" s="12">
        <v>14</v>
      </c>
      <c r="D449" s="15">
        <v>2042</v>
      </c>
      <c r="E449" s="10" t="str">
        <f>VLOOKUP(D449,'[1]DATA BASE SANTRI'!$C$91:$E$513,2,FALSE)</f>
        <v>Ahmad Khalif Hubaibillah</v>
      </c>
      <c r="F449" s="11" t="str">
        <f>VLOOKUP(D449,'[1]DATA BASE SANTRI'!$C$91:$E$513,3,FALSE)</f>
        <v>5C</v>
      </c>
    </row>
    <row r="450" spans="1:6" ht="15.6" x14ac:dyDescent="0.3">
      <c r="A450" s="23"/>
      <c r="B450" s="12">
        <v>15</v>
      </c>
      <c r="C450" s="12">
        <v>15</v>
      </c>
      <c r="D450" s="15">
        <v>2072</v>
      </c>
      <c r="E450" s="10" t="str">
        <f>VLOOKUP(D450,'[1]DATA BASE SANTRI'!$C$91:$E$513,2,FALSE)</f>
        <v>Faqih Aydin Karim</v>
      </c>
      <c r="F450" s="11" t="str">
        <f>VLOOKUP(D450,'[1]DATA BASE SANTRI'!$C$91:$E$513,3,FALSE)</f>
        <v>5C</v>
      </c>
    </row>
    <row r="451" spans="1:6" ht="15.6" x14ac:dyDescent="0.3">
      <c r="A451" s="23"/>
      <c r="B451" s="12">
        <v>16</v>
      </c>
      <c r="C451" s="12">
        <v>16</v>
      </c>
      <c r="D451" s="15">
        <v>2070</v>
      </c>
      <c r="E451" s="10" t="str">
        <f>VLOOKUP(D451,'[1]DATA BASE SANTRI'!$C$91:$E$513,2,FALSE)</f>
        <v>Elmire Rasyuqa Prasojo</v>
      </c>
      <c r="F451" s="11" t="str">
        <f>VLOOKUP(D451,'[1]DATA BASE SANTRI'!$C$91:$E$513,3,FALSE)</f>
        <v>5C</v>
      </c>
    </row>
    <row r="452" spans="1:6" ht="15.6" x14ac:dyDescent="0.3">
      <c r="A452" s="23"/>
      <c r="B452" s="12">
        <v>17</v>
      </c>
      <c r="C452" s="12">
        <v>17</v>
      </c>
      <c r="D452" s="15">
        <v>2038</v>
      </c>
      <c r="E452" s="10" t="str">
        <f>VLOOKUP(D452,'[1]DATA BASE SANTRI'!$C$91:$E$513,2,FALSE)</f>
        <v>Adiva Rafanda</v>
      </c>
      <c r="F452" s="11" t="str">
        <f>VLOOKUP(D452,'[1]DATA BASE SANTRI'!$C$91:$E$513,3,FALSE)</f>
        <v>5C</v>
      </c>
    </row>
    <row r="453" spans="1:6" ht="15.6" x14ac:dyDescent="0.3">
      <c r="A453" s="23"/>
      <c r="B453" s="12">
        <v>18</v>
      </c>
      <c r="C453" s="12">
        <v>18</v>
      </c>
      <c r="D453" s="12">
        <v>2111</v>
      </c>
      <c r="E453" s="10" t="str">
        <f>VLOOKUP(D453,'[1]DATA BASE SANTRI'!$C$91:$E$513,2,FALSE)</f>
        <v>RR. Noories Ayu Shofiyah</v>
      </c>
      <c r="F453" s="11" t="str">
        <f>VLOOKUP(D453,'[1]DATA BASE SANTRI'!$C$91:$E$513,3,FALSE)</f>
        <v>5C</v>
      </c>
    </row>
    <row r="454" spans="1:6" ht="15.6" x14ac:dyDescent="0.3">
      <c r="A454" s="23"/>
      <c r="B454" s="12">
        <v>19</v>
      </c>
      <c r="C454" s="12">
        <v>19</v>
      </c>
      <c r="D454" s="15">
        <v>1999</v>
      </c>
      <c r="E454" s="10" t="str">
        <f>VLOOKUP(D454,'[1]DATA BASE SANTRI'!$C$91:$E$513,2,FALSE)</f>
        <v>Kanaya Aisyah Putri</v>
      </c>
      <c r="F454" s="11" t="str">
        <f>VLOOKUP(D454,'[1]DATA BASE SANTRI'!$C$91:$E$513,3,FALSE)</f>
        <v>6A</v>
      </c>
    </row>
    <row r="455" spans="1:6" ht="15.6" x14ac:dyDescent="0.3">
      <c r="A455" s="23"/>
      <c r="B455" s="12">
        <v>20</v>
      </c>
      <c r="C455" s="12">
        <v>20</v>
      </c>
      <c r="D455" s="15">
        <v>2228</v>
      </c>
      <c r="E455" s="10" t="str">
        <f>VLOOKUP(D455,'[1]DATA BASE SANTRI'!$C$91:$E$513,2,FALSE)</f>
        <v xml:space="preserve">Nafeeza Queena Azzahra </v>
      </c>
      <c r="F455" s="11" t="str">
        <f>VLOOKUP(D455,'[1]DATA BASE SANTRI'!$C$91:$E$513,3,FALSE)</f>
        <v>6A</v>
      </c>
    </row>
    <row r="456" spans="1:6" ht="15.6" x14ac:dyDescent="0.3">
      <c r="A456" s="23"/>
      <c r="B456" s="12">
        <v>21</v>
      </c>
      <c r="C456" s="12">
        <v>21</v>
      </c>
      <c r="D456" s="15">
        <v>2027</v>
      </c>
      <c r="E456" s="10" t="str">
        <f>VLOOKUP(D456,'[1]DATA BASE SANTRI'!$C$91:$E$513,2,FALSE)</f>
        <v>Salsabilla Fayola R.</v>
      </c>
      <c r="F456" s="11" t="str">
        <f>VLOOKUP(D456,'[1]DATA BASE SANTRI'!$C$91:$E$513,3,FALSE)</f>
        <v>6B</v>
      </c>
    </row>
    <row r="457" spans="1:6" ht="15.6" x14ac:dyDescent="0.3">
      <c r="A457" s="23"/>
      <c r="B457" s="12">
        <v>22</v>
      </c>
      <c r="C457" s="12">
        <v>22</v>
      </c>
      <c r="D457" s="15">
        <v>1962</v>
      </c>
      <c r="E457" s="10" t="str">
        <f>VLOOKUP(D457,'[1]DATA BASE SANTRI'!$C$91:$E$513,2,FALSE)</f>
        <v>Achmad Deviano Al Rasyid</v>
      </c>
      <c r="F457" s="11" t="str">
        <f>VLOOKUP(D457,'[1]DATA BASE SANTRI'!$C$91:$E$513,3,FALSE)</f>
        <v>6B</v>
      </c>
    </row>
    <row r="458" spans="1:6" ht="15.6" x14ac:dyDescent="0.3">
      <c r="A458" s="23"/>
      <c r="B458" s="12">
        <v>23</v>
      </c>
      <c r="C458" s="12">
        <v>23</v>
      </c>
      <c r="D458" s="15">
        <v>2029</v>
      </c>
      <c r="E458" s="10" t="str">
        <f>VLOOKUP(D458,'[1]DATA BASE SANTRI'!$C$91:$E$513,2,FALSE)</f>
        <v>Shattira Qarira Faisal</v>
      </c>
      <c r="F458" s="11" t="str">
        <f>VLOOKUP(D458,'[1]DATA BASE SANTRI'!$C$91:$E$513,3,FALSE)</f>
        <v>6B</v>
      </c>
    </row>
    <row r="459" spans="1:6" ht="15.6" x14ac:dyDescent="0.3">
      <c r="A459" s="23"/>
      <c r="B459" s="12">
        <v>24</v>
      </c>
      <c r="C459" s="12">
        <v>24</v>
      </c>
      <c r="D459" s="15">
        <v>2014</v>
      </c>
      <c r="E459" s="10" t="str">
        <f>VLOOKUP(D459,'[1]DATA BASE SANTRI'!$C$91:$E$513,2,FALSE)</f>
        <v>Nabila Arsyfa Salsabila</v>
      </c>
      <c r="F459" s="11" t="str">
        <f>VLOOKUP(D459,'[1]DATA BASE SANTRI'!$C$91:$E$513,3,FALSE)</f>
        <v>6C</v>
      </c>
    </row>
    <row r="460" spans="1:6" ht="15.6" x14ac:dyDescent="0.3">
      <c r="A460" s="23"/>
      <c r="B460" s="12">
        <v>25</v>
      </c>
      <c r="C460" s="12">
        <v>25</v>
      </c>
      <c r="D460" s="15">
        <v>1966</v>
      </c>
      <c r="E460" s="10" t="str">
        <f>VLOOKUP(D460,'[1]DATA BASE SANTRI'!$C$91:$E$513,2,FALSE)</f>
        <v>Aisyah Ayudia Inara Arba</v>
      </c>
      <c r="F460" s="11" t="str">
        <f>VLOOKUP(D460,'[1]DATA BASE SANTRI'!$C$91:$E$513,3,FALSE)</f>
        <v>6C</v>
      </c>
    </row>
    <row r="461" spans="1:6" ht="15.6" x14ac:dyDescent="0.3">
      <c r="A461" s="23"/>
      <c r="B461" s="12">
        <v>26</v>
      </c>
      <c r="C461" s="12">
        <v>26</v>
      </c>
      <c r="D461" s="15">
        <v>1976</v>
      </c>
      <c r="E461" s="10" t="str">
        <f>VLOOKUP(D461,'[1]DATA BASE SANTRI'!$C$91:$E$513,2,FALSE)</f>
        <v>Bagas Kalle Albyzaki Effendy</v>
      </c>
      <c r="F461" s="11" t="str">
        <f>VLOOKUP(D461,'[1]DATA BASE SANTRI'!$C$91:$E$513,3,FALSE)</f>
        <v>6C</v>
      </c>
    </row>
    <row r="462" spans="1:6" ht="15.6" x14ac:dyDescent="0.3">
      <c r="A462" s="23"/>
      <c r="B462" s="12">
        <v>27</v>
      </c>
      <c r="C462" s="12">
        <v>1</v>
      </c>
      <c r="D462" s="15">
        <v>1998</v>
      </c>
      <c r="E462" s="10" t="str">
        <f>VLOOKUP(D462,'[1]DATA BASE SANTRI'!$C$91:$E$513,2,FALSE)</f>
        <v>Jihan Hayfa Farzana</v>
      </c>
      <c r="F462" s="11" t="str">
        <f>VLOOKUP(D462,'[1]DATA BASE SANTRI'!$C$91:$E$513,3,FALSE)</f>
        <v>6A</v>
      </c>
    </row>
    <row r="463" spans="1:6" ht="15.6" x14ac:dyDescent="0.3">
      <c r="A463" s="23"/>
      <c r="B463" s="12">
        <v>28</v>
      </c>
      <c r="C463" s="12">
        <v>2</v>
      </c>
      <c r="D463" s="12">
        <v>1985</v>
      </c>
      <c r="E463" s="10" t="str">
        <f>VLOOKUP(D463,'[1]DATA BASE SANTRI'!$C$91:$E$513,2,FALSE)</f>
        <v>Danendra Iqsha Xavier</v>
      </c>
      <c r="F463" s="11" t="str">
        <f>VLOOKUP(D463,'[1]DATA BASE SANTRI'!$C$91:$E$513,3,FALSE)</f>
        <v>6B</v>
      </c>
    </row>
    <row r="464" spans="1:6" ht="15.6" x14ac:dyDescent="0.3">
      <c r="A464" s="23"/>
      <c r="B464" s="12">
        <v>29</v>
      </c>
      <c r="C464" s="12">
        <v>3</v>
      </c>
      <c r="D464" s="12">
        <v>2031</v>
      </c>
      <c r="E464" s="10" t="str">
        <f>VLOOKUP(D464,'[1]DATA BASE SANTRI'!$C$91:$E$513,2,FALSE)</f>
        <v>Unggul Doctorrizq Herlambang</v>
      </c>
      <c r="F464" s="11" t="str">
        <f>VLOOKUP(D464,'[1]DATA BASE SANTRI'!$C$91:$E$513,3,FALSE)</f>
        <v>6B</v>
      </c>
    </row>
    <row r="465" spans="1:6" ht="15.6" x14ac:dyDescent="0.3">
      <c r="A465" s="23"/>
      <c r="B465" s="12">
        <v>30</v>
      </c>
      <c r="C465" s="12">
        <v>4</v>
      </c>
      <c r="D465" s="15">
        <v>2069</v>
      </c>
      <c r="E465" s="10" t="str">
        <f>VLOOKUP(D465,'[1]DATA BASE SANTRI'!$C$91:$E$513,2,FALSE)</f>
        <v>El Randra Chumairo</v>
      </c>
      <c r="F465" s="11" t="str">
        <f>VLOOKUP(D465,'[1]DATA BASE SANTRI'!$C$91:$E$513,3,FALSE)</f>
        <v>5B</v>
      </c>
    </row>
    <row r="466" spans="1:6" ht="15.6" x14ac:dyDescent="0.3">
      <c r="A466" s="23"/>
      <c r="B466" s="12">
        <v>31</v>
      </c>
      <c r="C466" s="12">
        <v>5</v>
      </c>
      <c r="D466" s="15">
        <v>2212</v>
      </c>
      <c r="E466" s="10" t="str">
        <f>VLOOKUP(D466,'[1]DATA BASE SANTRI'!$C$91:$E$513,2,FALSE)</f>
        <v xml:space="preserve">Sabira Husna Almahyra </v>
      </c>
      <c r="F466" s="11" t="str">
        <f>VLOOKUP(D466,'[1]DATA BASE SANTRI'!$C$91:$E$513,3,FALSE)</f>
        <v>4C</v>
      </c>
    </row>
    <row r="467" spans="1:6" ht="15.6" x14ac:dyDescent="0.3">
      <c r="A467" s="23"/>
      <c r="B467" s="12">
        <v>32</v>
      </c>
      <c r="C467" s="12">
        <v>6</v>
      </c>
      <c r="D467" s="15">
        <v>1965</v>
      </c>
      <c r="E467" s="10" t="str">
        <f>VLOOKUP(D467,'[1]DATA BASE SANTRI'!$C$91:$E$513,2,FALSE)</f>
        <v xml:space="preserve">Abu Bakr Afif Alfaizin </v>
      </c>
      <c r="F467" s="11" t="str">
        <f>VLOOKUP(D467,'[1]DATA BASE SANTRI'!$C$91:$E$513,3,FALSE)</f>
        <v>6C</v>
      </c>
    </row>
    <row r="468" spans="1:6" ht="15.6" x14ac:dyDescent="0.3">
      <c r="A468" s="23"/>
      <c r="B468" s="12">
        <v>33</v>
      </c>
      <c r="C468" s="12">
        <v>7</v>
      </c>
      <c r="D468" s="15">
        <v>1980</v>
      </c>
      <c r="E468" s="10" t="str">
        <f>VLOOKUP(D468,'[1]DATA BASE SANTRI'!$C$91:$E$513,2,FALSE)</f>
        <v>Citra Kartika Putri Wijaya</v>
      </c>
      <c r="F468" s="11" t="str">
        <f>VLOOKUP(D468,'[1]DATA BASE SANTRI'!$C$91:$E$513,3,FALSE)</f>
        <v>6C</v>
      </c>
    </row>
    <row r="469" spans="1:6" ht="15.6" x14ac:dyDescent="0.3">
      <c r="A469" s="23"/>
      <c r="B469" s="12">
        <v>34</v>
      </c>
      <c r="C469" s="12">
        <v>8</v>
      </c>
      <c r="D469" s="15">
        <v>2146</v>
      </c>
      <c r="E469" s="10" t="str">
        <f>VLOOKUP(D469,'[1]DATA BASE SANTRI'!$C$91:$E$513,2,FALSE)</f>
        <v>Amira Hannah Nashruddin</v>
      </c>
      <c r="F469" s="11" t="str">
        <f>VLOOKUP(D469,'[1]DATA BASE SANTRI'!$C$91:$E$513,3,FALSE)</f>
        <v>4A</v>
      </c>
    </row>
    <row r="470" spans="1:6" ht="15.6" x14ac:dyDescent="0.3">
      <c r="A470" s="23"/>
      <c r="B470" s="12">
        <v>35</v>
      </c>
      <c r="C470" s="12">
        <v>9</v>
      </c>
      <c r="D470" s="15">
        <v>2122</v>
      </c>
      <c r="E470" s="10" t="str">
        <f>VLOOKUP(D470,'[1]DATA BASE SANTRI'!$C$91:$E$513,2,FALSE)</f>
        <v>Zaidan Syifa Putra Ramadhan</v>
      </c>
      <c r="F470" s="11" t="str">
        <f>VLOOKUP(D470,'[1]DATA BASE SANTRI'!$C$91:$E$513,3,FALSE)</f>
        <v>5B</v>
      </c>
    </row>
    <row r="471" spans="1:6" ht="15.6" x14ac:dyDescent="0.3">
      <c r="A471" s="23"/>
      <c r="B471" s="12">
        <v>36</v>
      </c>
      <c r="C471" s="12">
        <v>10</v>
      </c>
      <c r="D471" s="15">
        <v>2067</v>
      </c>
      <c r="E471" s="10" t="str">
        <f>VLOOKUP(D471,'[1]DATA BASE SANTRI'!$C$91:$E$513,2,FALSE)</f>
        <v>Diana Victoria Arief</v>
      </c>
      <c r="F471" s="11" t="str">
        <f>VLOOKUP(D471,'[1]DATA BASE SANTRI'!$C$91:$E$513,3,FALSE)</f>
        <v>5B</v>
      </c>
    </row>
    <row r="472" spans="1:6" ht="15.6" x14ac:dyDescent="0.3">
      <c r="A472" s="23"/>
      <c r="B472" s="12">
        <v>37</v>
      </c>
      <c r="C472" s="12">
        <v>11</v>
      </c>
      <c r="D472" s="15">
        <v>2096</v>
      </c>
      <c r="E472" s="10" t="str">
        <f>VLOOKUP(D472,'[1]DATA BASE SANTRI'!$C$91:$E$513,2,FALSE)</f>
        <v>Muhammad Fakhri Ramadhan Saputra</v>
      </c>
      <c r="F472" s="11" t="str">
        <f>VLOOKUP(D472,'[1]DATA BASE SANTRI'!$C$91:$E$513,3,FALSE)</f>
        <v>5B</v>
      </c>
    </row>
    <row r="473" spans="1:6" ht="15.6" x14ac:dyDescent="0.3">
      <c r="A473" s="23"/>
      <c r="B473" s="12">
        <v>38</v>
      </c>
      <c r="C473" s="12">
        <v>12</v>
      </c>
      <c r="D473" s="15">
        <v>2006</v>
      </c>
      <c r="E473" s="10" t="str">
        <f>VLOOKUP(D473,'[1]DATA BASE SANTRI'!$C$91:$E$513,2,FALSE)</f>
        <v>Mikayla Miftahul Mumtazah</v>
      </c>
      <c r="F473" s="11" t="str">
        <f>VLOOKUP(D473,'[1]DATA BASE SANTRI'!$C$91:$E$513,3,FALSE)</f>
        <v>6A</v>
      </c>
    </row>
    <row r="474" spans="1:6" ht="15.6" x14ac:dyDescent="0.3">
      <c r="A474" s="23"/>
      <c r="B474" s="12">
        <v>39</v>
      </c>
      <c r="C474" s="12">
        <v>13</v>
      </c>
      <c r="D474" s="15">
        <v>1963</v>
      </c>
      <c r="E474" s="10" t="str">
        <f>VLOOKUP(D474,'[1]DATA BASE SANTRI'!$C$91:$E$513,2,FALSE)</f>
        <v>Adiba Hudaya Azzahra</v>
      </c>
      <c r="F474" s="11" t="str">
        <f>VLOOKUP(D474,'[1]DATA BASE SANTRI'!$C$91:$E$513,3,FALSE)</f>
        <v>6C</v>
      </c>
    </row>
    <row r="475" spans="1:6" ht="15.6" x14ac:dyDescent="0.3">
      <c r="A475" s="23"/>
      <c r="B475" s="12">
        <v>40</v>
      </c>
      <c r="C475" s="12">
        <v>14</v>
      </c>
      <c r="D475" s="15">
        <v>2171</v>
      </c>
      <c r="E475" s="10" t="str">
        <f>VLOOKUP(D475,'[1]DATA BASE SANTRI'!$C$91:$E$513,2,FALSE)</f>
        <v>Hanum Ayudia Inara</v>
      </c>
      <c r="F475" s="11" t="str">
        <f>VLOOKUP(D475,'[1]DATA BASE SANTRI'!$C$91:$E$513,3,FALSE)</f>
        <v>4B</v>
      </c>
    </row>
    <row r="476" spans="1:6" ht="15.6" x14ac:dyDescent="0.3">
      <c r="A476" s="23"/>
      <c r="B476" s="12">
        <v>41</v>
      </c>
      <c r="C476" s="12">
        <v>15</v>
      </c>
      <c r="D476" s="15">
        <v>2056</v>
      </c>
      <c r="E476" s="10" t="str">
        <f>VLOOKUP(D476,'[1]DATA BASE SANTRI'!$C$91:$E$513,2,FALSE)</f>
        <v>Anggraini Putri Kumalasari</v>
      </c>
      <c r="F476" s="11" t="str">
        <f>VLOOKUP(D476,'[1]DATA BASE SANTRI'!$C$91:$E$513,3,FALSE)</f>
        <v>5C</v>
      </c>
    </row>
    <row r="477" spans="1:6" ht="15.6" x14ac:dyDescent="0.3">
      <c r="A477" s="23"/>
      <c r="B477" s="12">
        <v>42</v>
      </c>
      <c r="C477" s="12">
        <v>16</v>
      </c>
      <c r="D477" s="15">
        <v>2058</v>
      </c>
      <c r="E477" s="10" t="str">
        <f>VLOOKUP(D477,'[1]DATA BASE SANTRI'!$C$91:$E$513,2,FALSE)</f>
        <v>Aysilla Feylqulaybah Sanjaya</v>
      </c>
      <c r="F477" s="11" t="str">
        <f>VLOOKUP(D477,'[1]DATA BASE SANTRI'!$C$91:$E$513,3,FALSE)</f>
        <v>5C</v>
      </c>
    </row>
    <row r="478" spans="1:6" ht="15.6" x14ac:dyDescent="0.3">
      <c r="A478" s="23"/>
      <c r="B478" s="12">
        <v>43</v>
      </c>
      <c r="C478" s="12">
        <v>17</v>
      </c>
      <c r="D478" s="15">
        <v>2032</v>
      </c>
      <c r="E478" s="10" t="str">
        <f>VLOOKUP(D478,'[1]DATA BASE SANTRI'!$C$91:$E$513,2,FALSE)</f>
        <v>Zacky Alan Ghibran</v>
      </c>
      <c r="F478" s="11" t="str">
        <f>VLOOKUP(D478,'[1]DATA BASE SANTRI'!$C$91:$E$513,3,FALSE)</f>
        <v>6C</v>
      </c>
    </row>
    <row r="479" spans="1:6" ht="15.6" x14ac:dyDescent="0.3">
      <c r="A479" s="23"/>
      <c r="B479" s="12">
        <v>44</v>
      </c>
      <c r="C479" s="12">
        <v>18</v>
      </c>
      <c r="D479" s="15">
        <v>1993</v>
      </c>
      <c r="E479" s="10" t="str">
        <f>VLOOKUP(D479,'[1]DATA BASE SANTRI'!$C$91:$E$513,2,FALSE)</f>
        <v>Hafiz Al Ghazali Purnomo</v>
      </c>
      <c r="F479" s="11" t="str">
        <f>VLOOKUP(D479,'[1]DATA BASE SANTRI'!$C$91:$E$513,3,FALSE)</f>
        <v>6A</v>
      </c>
    </row>
    <row r="480" spans="1:6" ht="15.6" x14ac:dyDescent="0.3">
      <c r="A480" s="23"/>
      <c r="B480" s="12">
        <v>45</v>
      </c>
      <c r="C480" s="12">
        <v>19</v>
      </c>
      <c r="D480" s="15">
        <v>1973</v>
      </c>
      <c r="E480" s="10" t="str">
        <f>VLOOKUP(D480,'[1]DATA BASE SANTRI'!$C$91:$E$513,2,FALSE)</f>
        <v>Audri Nuha Zahira</v>
      </c>
      <c r="F480" s="11" t="str">
        <f>VLOOKUP(D480,'[1]DATA BASE SANTRI'!$C$91:$E$513,3,FALSE)</f>
        <v>6C</v>
      </c>
    </row>
    <row r="481" spans="1:6" ht="15.6" x14ac:dyDescent="0.3">
      <c r="A481" s="23"/>
      <c r="B481" s="12">
        <v>46</v>
      </c>
      <c r="C481" s="12">
        <v>20</v>
      </c>
      <c r="D481" s="15">
        <v>2134</v>
      </c>
      <c r="E481" s="10" t="str">
        <f>VLOOKUP(D481,'[1]DATA BASE SANTRI'!$C$91:$E$513,2,FALSE)</f>
        <v>Abdullah Ukasyah Al Fawwaz</v>
      </c>
      <c r="F481" s="11" t="str">
        <f>VLOOKUP(D481,'[1]DATA BASE SANTRI'!$C$91:$E$513,3,FALSE)</f>
        <v>4A</v>
      </c>
    </row>
    <row r="482" spans="1:6" ht="15.6" x14ac:dyDescent="0.3">
      <c r="A482" s="23"/>
      <c r="B482" s="12">
        <v>47</v>
      </c>
      <c r="C482" s="12">
        <v>21</v>
      </c>
      <c r="D482" s="15">
        <v>1991</v>
      </c>
      <c r="E482" s="10" t="str">
        <f>VLOOKUP(D482,'[1]DATA BASE SANTRI'!$C$91:$E$513,2,FALSE)</f>
        <v>Fukayna Mazaya Fachrani Effendi</v>
      </c>
      <c r="F482" s="11" t="str">
        <f>VLOOKUP(D482,'[1]DATA BASE SANTRI'!$C$91:$E$513,3,FALSE)</f>
        <v>6B</v>
      </c>
    </row>
    <row r="483" spans="1:6" ht="15.6" x14ac:dyDescent="0.3">
      <c r="A483" s="23"/>
      <c r="B483" s="12">
        <v>48</v>
      </c>
      <c r="C483" s="12">
        <v>22</v>
      </c>
      <c r="D483" s="12">
        <v>2093</v>
      </c>
      <c r="E483" s="10" t="str">
        <f>VLOOKUP(D483,'[1]DATA BASE SANTRI'!$C$91:$E$513,2,FALSE)</f>
        <v>Muhammad Ayyub Faqih</v>
      </c>
      <c r="F483" s="11" t="str">
        <f>VLOOKUP(D483,'[1]DATA BASE SANTRI'!$C$91:$E$513,3,FALSE)</f>
        <v>5A</v>
      </c>
    </row>
    <row r="484" spans="1:6" ht="15.6" x14ac:dyDescent="0.3">
      <c r="A484" s="23"/>
      <c r="B484" s="12">
        <v>49</v>
      </c>
      <c r="C484" s="12">
        <v>23</v>
      </c>
      <c r="D484" s="15">
        <v>2094</v>
      </c>
      <c r="E484" s="10" t="str">
        <f>VLOOKUP(D484,'[1]DATA BASE SANTRI'!$C$91:$E$513,2,FALSE)</f>
        <v>Muhammad Azfer Falachy</v>
      </c>
      <c r="F484" s="11" t="str">
        <f>VLOOKUP(D484,'[1]DATA BASE SANTRI'!$C$91:$E$513,3,FALSE)</f>
        <v>5B</v>
      </c>
    </row>
    <row r="485" spans="1:6" ht="15.6" x14ac:dyDescent="0.3">
      <c r="A485" s="23"/>
      <c r="B485" s="12">
        <v>50</v>
      </c>
      <c r="C485" s="12">
        <v>24</v>
      </c>
      <c r="D485" s="15">
        <v>2039</v>
      </c>
      <c r="E485" s="10" t="str">
        <f>VLOOKUP(D485,'[1]DATA BASE SANTRI'!$C$91:$E$513,2,FALSE)</f>
        <v>Agatha Batrisya Shanum</v>
      </c>
      <c r="F485" s="11" t="str">
        <f>VLOOKUP(D485,'[1]DATA BASE SANTRI'!$C$91:$E$513,3,FALSE)</f>
        <v>5A</v>
      </c>
    </row>
    <row r="486" spans="1:6" ht="15.6" x14ac:dyDescent="0.3">
      <c r="A486" s="23"/>
      <c r="B486" s="12">
        <v>51</v>
      </c>
      <c r="C486" s="12">
        <v>25</v>
      </c>
      <c r="D486" s="15">
        <v>2104</v>
      </c>
      <c r="E486" s="10" t="str">
        <f>VLOOKUP(D486,'[1]DATA BASE SANTRI'!$C$91:$E$513,2,FALSE)</f>
        <v>Nizar Nawaf Ali</v>
      </c>
      <c r="F486" s="11" t="str">
        <f>VLOOKUP(D486,'[1]DATA BASE SANTRI'!$C$91:$E$513,3,FALSE)</f>
        <v>5A</v>
      </c>
    </row>
    <row r="487" spans="1:6" ht="15.6" x14ac:dyDescent="0.3">
      <c r="A487" s="23"/>
      <c r="B487" s="12">
        <v>52</v>
      </c>
      <c r="C487" s="12">
        <v>26</v>
      </c>
      <c r="D487" s="15">
        <v>2045</v>
      </c>
      <c r="E487" s="10" t="str">
        <f>VLOOKUP(D487,'[1]DATA BASE SANTRI'!$C$91:$E$513,2,FALSE)</f>
        <v>Airelyn Bellvania Cinta Kirana</v>
      </c>
      <c r="F487" s="11" t="str">
        <f>VLOOKUP(D487,'[1]DATA BASE SANTRI'!$C$91:$E$513,3,FALSE)</f>
        <v>5A</v>
      </c>
    </row>
    <row r="488" spans="1:6" ht="15.6" x14ac:dyDescent="0.3">
      <c r="A488" s="23"/>
      <c r="B488" s="12">
        <v>53</v>
      </c>
      <c r="C488" s="12">
        <v>1</v>
      </c>
      <c r="D488" s="15">
        <v>2274</v>
      </c>
      <c r="E488" s="10" t="str">
        <f>VLOOKUP(D488,'[1]DATA BASE SANTRI'!$C$91:$E$513,2,FALSE)</f>
        <v>Ibrahim Pratama Putra</v>
      </c>
      <c r="F488" s="11" t="str">
        <f>VLOOKUP(D488,'[1]DATA BASE SANTRI'!$C$91:$E$513,3,FALSE)</f>
        <v>3A</v>
      </c>
    </row>
    <row r="489" spans="1:6" ht="15.6" x14ac:dyDescent="0.3">
      <c r="A489" s="23"/>
      <c r="B489" s="12">
        <v>54</v>
      </c>
      <c r="C489" s="12">
        <v>2</v>
      </c>
      <c r="D489" s="15">
        <v>2140</v>
      </c>
      <c r="E489" s="10" t="str">
        <f>VLOOKUP(D489,'[1]DATA BASE SANTRI'!$C$91:$E$513,2,FALSE)</f>
        <v>Alesha Dzahin Asrori</v>
      </c>
      <c r="F489" s="11" t="str">
        <f>VLOOKUP(D489,'[1]DATA BASE SANTRI'!$C$91:$E$513,3,FALSE)</f>
        <v>4A</v>
      </c>
    </row>
    <row r="490" spans="1:6" ht="15.6" x14ac:dyDescent="0.3">
      <c r="A490" s="23"/>
      <c r="B490" s="12">
        <v>55</v>
      </c>
      <c r="C490" s="12">
        <v>3</v>
      </c>
      <c r="D490" s="15">
        <v>2150</v>
      </c>
      <c r="E490" s="10" t="str">
        <f>VLOOKUP(D490,'[1]DATA BASE SANTRI'!$C$91:$E$513,2,FALSE)</f>
        <v>Arkha Abyan Alfarizi Yuandi</v>
      </c>
      <c r="F490" s="11" t="str">
        <f>VLOOKUP(D490,'[1]DATA BASE SANTRI'!$C$91:$E$513,3,FALSE)</f>
        <v>4B</v>
      </c>
    </row>
    <row r="491" spans="1:6" ht="15.6" x14ac:dyDescent="0.3">
      <c r="A491" s="23"/>
      <c r="B491" s="12">
        <v>56</v>
      </c>
      <c r="C491" s="12">
        <v>4</v>
      </c>
      <c r="D491" s="12">
        <v>2218</v>
      </c>
      <c r="E491" s="10" t="str">
        <f>VLOOKUP(D491,'[1]DATA BASE SANTRI'!$C$91:$E$513,2,FALSE)</f>
        <v>Shanum Husnia Al Azis</v>
      </c>
      <c r="F491" s="11" t="str">
        <f>VLOOKUP(D491,'[1]DATA BASE SANTRI'!$C$91:$E$513,3,FALSE)</f>
        <v>4C</v>
      </c>
    </row>
    <row r="492" spans="1:6" ht="15.6" x14ac:dyDescent="0.3">
      <c r="A492" s="23"/>
      <c r="B492" s="12">
        <v>57</v>
      </c>
      <c r="C492" s="12">
        <v>5</v>
      </c>
      <c r="D492" s="15">
        <v>2144</v>
      </c>
      <c r="E492" s="10" t="str">
        <f>VLOOKUP(D492,'[1]DATA BASE SANTRI'!$C$91:$E$513,2,FALSE)</f>
        <v>Alrafaeyza Putra Arman</v>
      </c>
      <c r="F492" s="11" t="str">
        <f>VLOOKUP(D492,'[1]DATA BASE SANTRI'!$C$91:$E$513,3,FALSE)</f>
        <v>4C</v>
      </c>
    </row>
    <row r="493" spans="1:6" ht="15.6" x14ac:dyDescent="0.3">
      <c r="A493" s="23"/>
      <c r="B493" s="12">
        <v>58</v>
      </c>
      <c r="C493" s="12">
        <v>6</v>
      </c>
      <c r="D493" s="15">
        <v>2063</v>
      </c>
      <c r="E493" s="10" t="str">
        <f>VLOOKUP(D493,'[1]DATA BASE SANTRI'!$C$91:$E$513,2,FALSE)</f>
        <v>Daffario Aji Widianto</v>
      </c>
      <c r="F493" s="11" t="str">
        <f>VLOOKUP(D493,'[1]DATA BASE SANTRI'!$C$91:$E$513,3,FALSE)</f>
        <v>5A</v>
      </c>
    </row>
    <row r="494" spans="1:6" ht="15.6" x14ac:dyDescent="0.3">
      <c r="A494" s="23"/>
      <c r="B494" s="12">
        <v>59</v>
      </c>
      <c r="C494" s="12">
        <v>7</v>
      </c>
      <c r="D494" s="15">
        <v>2107</v>
      </c>
      <c r="E494" s="10" t="str">
        <f>VLOOKUP(D494,'[1]DATA BASE SANTRI'!$C$91:$E$513,2,FALSE)</f>
        <v>Rasya Achmad Atallah</v>
      </c>
      <c r="F494" s="11" t="str">
        <f>VLOOKUP(D494,'[1]DATA BASE SANTRI'!$C$91:$E$513,3,FALSE)</f>
        <v>5A</v>
      </c>
    </row>
    <row r="495" spans="1:6" ht="18" customHeight="1" x14ac:dyDescent="0.3">
      <c r="A495" s="23"/>
      <c r="B495" s="12">
        <v>60</v>
      </c>
      <c r="C495" s="12">
        <v>8</v>
      </c>
      <c r="D495" s="15">
        <v>2113</v>
      </c>
      <c r="E495" s="10" t="str">
        <f>VLOOKUP(D495,'[1]DATA BASE SANTRI'!$C$91:$E$513,2,FALSE)</f>
        <v>Sekar Anjani Dewanto</v>
      </c>
      <c r="F495" s="11" t="str">
        <f>VLOOKUP(D495,'[1]DATA BASE SANTRI'!$C$91:$E$513,3,FALSE)</f>
        <v>5A</v>
      </c>
    </row>
    <row r="496" spans="1:6" ht="18" customHeight="1" x14ac:dyDescent="0.3">
      <c r="A496" s="23"/>
      <c r="B496" s="12">
        <v>61</v>
      </c>
      <c r="C496" s="12">
        <v>9</v>
      </c>
      <c r="D496" s="15">
        <v>2082</v>
      </c>
      <c r="E496" s="10" t="str">
        <f>VLOOKUP(D496,'[1]DATA BASE SANTRI'!$C$91:$E$513,2,FALSE)</f>
        <v>Kiano Zafran Ariawan</v>
      </c>
      <c r="F496" s="11" t="str">
        <f>VLOOKUP(D496,'[1]DATA BASE SANTRI'!$C$91:$E$513,3,FALSE)</f>
        <v>5A</v>
      </c>
    </row>
    <row r="497" spans="1:6" ht="18" customHeight="1" x14ac:dyDescent="0.3">
      <c r="A497" s="23"/>
      <c r="B497" s="12">
        <v>62</v>
      </c>
      <c r="C497" s="12">
        <v>10</v>
      </c>
      <c r="D497" s="15">
        <v>2064</v>
      </c>
      <c r="E497" s="10" t="str">
        <f>VLOOKUP(D497,'[1]DATA BASE SANTRI'!$C$91:$E$513,2,FALSE)</f>
        <v>Daniara Putri Iqsha Lacita</v>
      </c>
      <c r="F497" s="11" t="str">
        <f>VLOOKUP(D497,'[1]DATA BASE SANTRI'!$C$91:$E$513,3,FALSE)</f>
        <v>5A</v>
      </c>
    </row>
    <row r="498" spans="1:6" ht="18" customHeight="1" x14ac:dyDescent="0.3">
      <c r="A498" s="23"/>
      <c r="B498" s="12">
        <v>63</v>
      </c>
      <c r="C498" s="12">
        <v>11</v>
      </c>
      <c r="D498" s="15">
        <v>2036</v>
      </c>
      <c r="E498" s="10" t="str">
        <f>VLOOKUP(D498,'[1]DATA BASE SANTRI'!$C$91:$E$513,2,FALSE)</f>
        <v>Adam Malik Maullana</v>
      </c>
      <c r="F498" s="11" t="str">
        <f>VLOOKUP(D498,'[1]DATA BASE SANTRI'!$C$91:$E$513,3,FALSE)</f>
        <v>5B</v>
      </c>
    </row>
    <row r="499" spans="1:6" ht="18" customHeight="1" x14ac:dyDescent="0.3">
      <c r="A499" s="23"/>
      <c r="B499" s="12">
        <v>64</v>
      </c>
      <c r="C499" s="12">
        <v>12</v>
      </c>
      <c r="D499" s="15">
        <v>2043</v>
      </c>
      <c r="E499" s="10" t="str">
        <f>VLOOKUP(D499,'[1]DATA BASE SANTRI'!$C$91:$E$513,2,FALSE)</f>
        <v>Ahmad Zafran Annafi</v>
      </c>
      <c r="F499" s="11" t="str">
        <f>VLOOKUP(D499,'[1]DATA BASE SANTRI'!$C$91:$E$513,3,FALSE)</f>
        <v>5B</v>
      </c>
    </row>
    <row r="500" spans="1:6" ht="18" customHeight="1" x14ac:dyDescent="0.3">
      <c r="A500" s="23"/>
      <c r="B500" s="12">
        <v>65</v>
      </c>
      <c r="C500" s="12">
        <v>13</v>
      </c>
      <c r="D500" s="15">
        <v>2091</v>
      </c>
      <c r="E500" s="10" t="str">
        <f>VLOOKUP(D500,'[1]DATA BASE SANTRI'!$C$91:$E$513,2,FALSE)</f>
        <v>Muhammad Amsyar Al-Rusyd</v>
      </c>
      <c r="F500" s="11" t="str">
        <f>VLOOKUP(D500,'[1]DATA BASE SANTRI'!$C$91:$E$513,3,FALSE)</f>
        <v>5B</v>
      </c>
    </row>
    <row r="501" spans="1:6" ht="18" customHeight="1" x14ac:dyDescent="0.3">
      <c r="A501" s="23"/>
      <c r="B501" s="12">
        <v>66</v>
      </c>
      <c r="C501" s="12">
        <v>14</v>
      </c>
      <c r="D501" s="15">
        <v>2092</v>
      </c>
      <c r="E501" s="10" t="str">
        <f>VLOOKUP(D501,'[1]DATA BASE SANTRI'!$C$91:$E$513,2,FALSE)</f>
        <v>Muhammad Arya Bima Nata Hebat</v>
      </c>
      <c r="F501" s="11" t="str">
        <f>VLOOKUP(D501,'[1]DATA BASE SANTRI'!$C$91:$E$513,3,FALSE)</f>
        <v>5C</v>
      </c>
    </row>
    <row r="502" spans="1:6" ht="18" customHeight="1" x14ac:dyDescent="0.3">
      <c r="A502" s="23"/>
      <c r="B502" s="12">
        <v>67</v>
      </c>
      <c r="C502" s="12">
        <v>15</v>
      </c>
      <c r="D502" s="12">
        <v>1995</v>
      </c>
      <c r="E502" s="10" t="str">
        <f>VLOOKUP(D502,'[1]DATA BASE SANTRI'!$C$91:$E$513,2,FALSE)</f>
        <v>Imtiaz Faschinan Ahmad</v>
      </c>
      <c r="F502" s="11" t="str">
        <f>VLOOKUP(D502,'[1]DATA BASE SANTRI'!$C$91:$E$513,3,FALSE)</f>
        <v>6A</v>
      </c>
    </row>
    <row r="503" spans="1:6" ht="18" customHeight="1" x14ac:dyDescent="0.3">
      <c r="A503" s="23"/>
      <c r="B503" s="12">
        <v>68</v>
      </c>
      <c r="C503" s="12">
        <v>16</v>
      </c>
      <c r="D503" s="15">
        <v>2023</v>
      </c>
      <c r="E503" s="10" t="str">
        <f>VLOOKUP(D503,'[1]DATA BASE SANTRI'!$C$91:$E$513,2,FALSE)</f>
        <v>Raihana Azzahra Arianto</v>
      </c>
      <c r="F503" s="11" t="str">
        <f>VLOOKUP(D503,'[1]DATA BASE SANTRI'!$C$91:$E$513,3,FALSE)</f>
        <v>6A</v>
      </c>
    </row>
    <row r="504" spans="1:6" ht="18" customHeight="1" x14ac:dyDescent="0.3">
      <c r="A504" s="23"/>
      <c r="B504" s="12">
        <v>69</v>
      </c>
      <c r="C504" s="12">
        <v>17</v>
      </c>
      <c r="D504" s="15">
        <v>2008</v>
      </c>
      <c r="E504" s="10" t="str">
        <f>VLOOKUP(D504,'[1]DATA BASE SANTRI'!$C$91:$E$513,2,FALSE)</f>
        <v>Muhammad Abidzar Alfarizi</v>
      </c>
      <c r="F504" s="11" t="str">
        <f>VLOOKUP(D504,'[1]DATA BASE SANTRI'!$C$91:$E$513,3,FALSE)</f>
        <v>6A</v>
      </c>
    </row>
    <row r="505" spans="1:6" ht="18" customHeight="1" x14ac:dyDescent="0.3">
      <c r="A505" s="23"/>
      <c r="B505" s="12">
        <v>70</v>
      </c>
      <c r="C505" s="12">
        <v>18</v>
      </c>
      <c r="D505" s="12">
        <v>2024</v>
      </c>
      <c r="E505" s="10" t="str">
        <f>VLOOKUP(D505,'[1]DATA BASE SANTRI'!$C$91:$E$513,2,FALSE)</f>
        <v>Raisya Nabilla Athalia Hardianto</v>
      </c>
      <c r="F505" s="11" t="str">
        <f>VLOOKUP(D505,'[1]DATA BASE SANTRI'!$C$91:$E$513,3,FALSE)</f>
        <v>6A</v>
      </c>
    </row>
    <row r="506" spans="1:6" ht="18" customHeight="1" x14ac:dyDescent="0.3">
      <c r="A506" s="23"/>
      <c r="B506" s="12">
        <v>71</v>
      </c>
      <c r="C506" s="12">
        <v>19</v>
      </c>
      <c r="D506" s="15">
        <v>1994</v>
      </c>
      <c r="E506" s="10" t="str">
        <f>VLOOKUP(D506,'[1]DATA BASE SANTRI'!$C$91:$E$513,2,FALSE)</f>
        <v>Humaira Raisa Zahra</v>
      </c>
      <c r="F506" s="11" t="str">
        <f>VLOOKUP(D506,'[1]DATA BASE SANTRI'!$C$91:$E$513,3,FALSE)</f>
        <v>6A</v>
      </c>
    </row>
    <row r="507" spans="1:6" ht="18" customHeight="1" x14ac:dyDescent="0.3">
      <c r="A507" s="23"/>
      <c r="B507" s="12">
        <v>72</v>
      </c>
      <c r="C507" s="12">
        <v>20</v>
      </c>
      <c r="D507" s="15">
        <v>2227</v>
      </c>
      <c r="E507" s="10" t="str">
        <f>VLOOKUP(D507,'[1]DATA BASE SANTRI'!$C$91:$E$513,2,FALSE)</f>
        <v xml:space="preserve">Nadhifa Qanita Azzura </v>
      </c>
      <c r="F507" s="11" t="str">
        <f>VLOOKUP(D507,'[1]DATA BASE SANTRI'!$C$91:$E$513,3,FALSE)</f>
        <v>6A</v>
      </c>
    </row>
    <row r="508" spans="1:6" ht="18" customHeight="1" x14ac:dyDescent="0.3">
      <c r="A508" s="23"/>
      <c r="B508" s="12">
        <v>73</v>
      </c>
      <c r="C508" s="12">
        <v>21</v>
      </c>
      <c r="D508" s="15">
        <v>2019</v>
      </c>
      <c r="E508" s="10" t="str">
        <f>VLOOKUP(D508,'[1]DATA BASE SANTRI'!$C$91:$E$513,2,FALSE)</f>
        <v>Naufal Athallah Zahwan</v>
      </c>
      <c r="F508" s="11" t="str">
        <f>VLOOKUP(D508,'[1]DATA BASE SANTRI'!$C$91:$E$513,3,FALSE)</f>
        <v>6B</v>
      </c>
    </row>
    <row r="509" spans="1:6" ht="18" customHeight="1" x14ac:dyDescent="0.3">
      <c r="A509" s="23"/>
      <c r="B509" s="12">
        <v>74</v>
      </c>
      <c r="C509" s="12">
        <v>22</v>
      </c>
      <c r="D509" s="15">
        <v>2025</v>
      </c>
      <c r="E509" s="10" t="str">
        <f>VLOOKUP(D509,'[1]DATA BASE SANTRI'!$C$91:$E$513,2,FALSE)</f>
        <v>Raja Agung Aryadinata</v>
      </c>
      <c r="F509" s="11" t="str">
        <f>VLOOKUP(D509,'[1]DATA BASE SANTRI'!$C$91:$E$513,3,FALSE)</f>
        <v>6B</v>
      </c>
    </row>
    <row r="510" spans="1:6" ht="18" customHeight="1" x14ac:dyDescent="0.3">
      <c r="A510" s="23"/>
      <c r="B510" s="12">
        <v>75</v>
      </c>
      <c r="C510" s="12">
        <v>23</v>
      </c>
      <c r="D510" s="12">
        <v>1970</v>
      </c>
      <c r="E510" s="10" t="str">
        <f>VLOOKUP(D510,'[1]DATA BASE SANTRI'!$C$91:$E$513,2,FALSE)</f>
        <v>Aliya Salsabila Zain</v>
      </c>
      <c r="F510" s="11" t="str">
        <f>VLOOKUP(D510,'[1]DATA BASE SANTRI'!$C$91:$E$513,3,FALSE)</f>
        <v>6B</v>
      </c>
    </row>
    <row r="511" spans="1:6" ht="18" customHeight="1" x14ac:dyDescent="0.3">
      <c r="A511" s="23"/>
      <c r="B511" s="12">
        <v>76</v>
      </c>
      <c r="C511" s="12">
        <v>24</v>
      </c>
      <c r="D511" s="15">
        <v>1979</v>
      </c>
      <c r="E511" s="10" t="str">
        <f>VLOOKUP(D511,'[1]DATA BASE SANTRI'!$C$91:$E$513,2,FALSE)</f>
        <v>Callysta Bellvania Putri Vidiansah</v>
      </c>
      <c r="F511" s="11" t="str">
        <f>VLOOKUP(D511,'[1]DATA BASE SANTRI'!$C$91:$E$513,3,FALSE)</f>
        <v>6B</v>
      </c>
    </row>
    <row r="512" spans="1:6" ht="18" customHeight="1" x14ac:dyDescent="0.3">
      <c r="A512" s="23"/>
      <c r="B512" s="12">
        <v>77</v>
      </c>
      <c r="C512" s="12">
        <v>25</v>
      </c>
      <c r="D512" s="15">
        <v>1978</v>
      </c>
      <c r="E512" s="10" t="str">
        <f>VLOOKUP(D512,'[1]DATA BASE SANTRI'!$C$91:$E$513,2,FALSE)</f>
        <v>Bilqis Almirah Trismaharani</v>
      </c>
      <c r="F512" s="11" t="str">
        <f>VLOOKUP(D512,'[1]DATA BASE SANTRI'!$C$91:$E$513,3,FALSE)</f>
        <v>6C</v>
      </c>
    </row>
    <row r="513" spans="1:6" ht="18" customHeight="1" x14ac:dyDescent="0.3">
      <c r="A513" s="23"/>
      <c r="B513" s="12">
        <v>78</v>
      </c>
      <c r="C513" s="12">
        <v>26</v>
      </c>
      <c r="D513" s="15">
        <v>1997</v>
      </c>
      <c r="E513" s="10" t="str">
        <f>VLOOKUP(D513,'[1]DATA BASE SANTRI'!$C$91:$E$513,2,FALSE)</f>
        <v>Javis Fajrial Adhyastha</v>
      </c>
      <c r="F513" s="11" t="str">
        <f>VLOOKUP(D513,'[1]DATA BASE SANTRI'!$C$91:$E$513,3,FALSE)</f>
        <v>6C</v>
      </c>
    </row>
    <row r="514" spans="1:6" ht="18" customHeight="1" x14ac:dyDescent="0.3">
      <c r="A514" s="23"/>
      <c r="B514" s="12">
        <v>79</v>
      </c>
      <c r="C514" s="12">
        <v>27</v>
      </c>
      <c r="D514" s="12">
        <v>2000</v>
      </c>
      <c r="E514" s="10" t="str">
        <f>VLOOKUP(D514,'[1]DATA BASE SANTRI'!$C$91:$E$513,2,FALSE)</f>
        <v>Kanisa Hayuning Prameswari</v>
      </c>
      <c r="F514" s="11" t="str">
        <f>VLOOKUP(D514,'[1]DATA BASE SANTRI'!$C$91:$E$513,3,FALSE)</f>
        <v>6C</v>
      </c>
    </row>
    <row r="515" spans="1:6" ht="18" customHeight="1" x14ac:dyDescent="0.3"/>
    <row r="516" spans="1:6" ht="18" customHeight="1" x14ac:dyDescent="0.3"/>
    <row r="517" spans="1:6" ht="18" customHeight="1" x14ac:dyDescent="0.3"/>
    <row r="518" spans="1:6" ht="18" customHeight="1" x14ac:dyDescent="0.3"/>
    <row r="519" spans="1:6" ht="18" customHeight="1" x14ac:dyDescent="0.3"/>
    <row r="520" spans="1:6" ht="18" customHeight="1" x14ac:dyDescent="0.3"/>
    <row r="521" spans="1:6" ht="18" customHeight="1" x14ac:dyDescent="0.3"/>
    <row r="522" spans="1:6" ht="18" customHeight="1" x14ac:dyDescent="0.3"/>
    <row r="523" spans="1:6" ht="18" customHeight="1" x14ac:dyDescent="0.3"/>
    <row r="524" spans="1:6" ht="18" customHeight="1" x14ac:dyDescent="0.3"/>
    <row r="525" spans="1:6" ht="18" customHeight="1" x14ac:dyDescent="0.3"/>
    <row r="526" spans="1:6" ht="18" customHeight="1" x14ac:dyDescent="0.3"/>
    <row r="527" spans="1:6" ht="18" customHeight="1" x14ac:dyDescent="0.3"/>
    <row r="528" spans="1:6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</sheetData>
  <mergeCells count="16">
    <mergeCell ref="A6:A61"/>
    <mergeCell ref="A62:A121"/>
    <mergeCell ref="A1:F1"/>
    <mergeCell ref="A3:A5"/>
    <mergeCell ref="B4:B5"/>
    <mergeCell ref="D4:D5"/>
    <mergeCell ref="E4:E5"/>
    <mergeCell ref="F4:F5"/>
    <mergeCell ref="A402:A435"/>
    <mergeCell ref="A436:A514"/>
    <mergeCell ref="A122:A183"/>
    <mergeCell ref="A184:A265"/>
    <mergeCell ref="A266:A300"/>
    <mergeCell ref="A301:A342"/>
    <mergeCell ref="A343:A377"/>
    <mergeCell ref="A378:A40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PEMBAGIAN KELAS SM2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Helmi</dc:creator>
  <cp:lastModifiedBy>Helmi</cp:lastModifiedBy>
  <dcterms:created xsi:type="dcterms:W3CDTF">2026-07-29T02:45:34Z</dcterms:created>
  <dcterms:modified xsi:type="dcterms:W3CDTF">2026-07-29T04:23:44Z</dcterms:modified>
</cp:coreProperties>
</file>